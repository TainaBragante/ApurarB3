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TAINA\B3\CALCULADORA\ApurarB3\"/>
    </mc:Choice>
  </mc:AlternateContent>
  <xr:revisionPtr revIDLastSave="0" documentId="13_ncr:1_{A2CD170C-91C3-4668-AD23-DB8E9CB69CD8}" xr6:coauthVersionLast="47" xr6:coauthVersionMax="47" xr10:uidLastSave="{00000000-0000-0000-0000-000000000000}"/>
  <bookViews>
    <workbookView xWindow="28680" yWindow="-120" windowWidth="29040" windowHeight="15720" xr2:uid="{0E4F4D1A-8745-46D1-9297-3206C2CF753A}"/>
  </bookViews>
  <sheets>
    <sheet name="2026" sheetId="17" r:id="rId1"/>
    <sheet name="01.26" sheetId="20" r:id="rId2"/>
    <sheet name="02.26" sheetId="21" r:id="rId3"/>
    <sheet name="03.26" sheetId="22" r:id="rId4"/>
    <sheet name="04.26" sheetId="23" r:id="rId5"/>
    <sheet name="05.26" sheetId="24" r:id="rId6"/>
    <sheet name="06.26" sheetId="25" r:id="rId7"/>
    <sheet name="07.26" sheetId="26" r:id="rId8"/>
    <sheet name="08.26" sheetId="27" r:id="rId9"/>
    <sheet name="09.26" sheetId="28" r:id="rId10"/>
    <sheet name="10.26" sheetId="29" r:id="rId11"/>
    <sheet name="11.26" sheetId="30" r:id="rId12"/>
    <sheet name="12.26" sheetId="31" r:id="rId13"/>
  </sheets>
  <definedNames>
    <definedName name="_xlnm.Print_Area" localSheetId="1">'01.26'!$A$1:$K$65</definedName>
    <definedName name="_xlnm.Print_Area" localSheetId="2">'02.26'!$A$1:$K$65</definedName>
    <definedName name="_xlnm.Print_Area" localSheetId="3">'03.26'!$A$1:$K$65</definedName>
    <definedName name="_xlnm.Print_Area" localSheetId="4">'04.26'!$A$1:$K$65</definedName>
    <definedName name="_xlnm.Print_Area" localSheetId="5">'05.26'!$A$1:$K$65</definedName>
    <definedName name="_xlnm.Print_Area" localSheetId="6">'06.26'!$A$1:$K$65</definedName>
    <definedName name="_xlnm.Print_Area" localSheetId="7">'07.26'!$A$1:$K$65</definedName>
    <definedName name="_xlnm.Print_Area" localSheetId="8">'08.26'!$A$1:$K$65</definedName>
    <definedName name="_xlnm.Print_Area" localSheetId="9">'09.26'!$A$1:$K$65</definedName>
    <definedName name="_xlnm.Print_Area" localSheetId="10">'10.26'!$A$1:$K$65</definedName>
    <definedName name="_xlnm.Print_Area" localSheetId="11">'11.26'!$A$1:$K$65</definedName>
    <definedName name="_xlnm.Print_Area" localSheetId="12">'12.26'!$A$1:$K$65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31" l="1"/>
  <c r="B60" i="30"/>
  <c r="B60" i="29"/>
  <c r="B60" i="28"/>
  <c r="B60" i="27"/>
  <c r="B60" i="26"/>
  <c r="B60" i="25"/>
  <c r="B60" i="24"/>
  <c r="B60" i="23"/>
  <c r="B60" i="22"/>
  <c r="B60" i="21"/>
  <c r="C43" i="31"/>
  <c r="C43" i="30"/>
  <c r="C43" i="29"/>
  <c r="C43" i="28"/>
  <c r="C43" i="27"/>
  <c r="C43" i="26"/>
  <c r="C43" i="25"/>
  <c r="C43" i="24"/>
  <c r="C43" i="23"/>
  <c r="C43" i="22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10" i="17"/>
  <c r="C121" i="17"/>
  <c r="C120" i="17"/>
  <c r="C119" i="17"/>
  <c r="C118" i="17"/>
  <c r="C117" i="17"/>
  <c r="C116" i="17"/>
  <c r="C115" i="17"/>
  <c r="C114" i="17"/>
  <c r="C113" i="17"/>
  <c r="C112" i="17"/>
  <c r="C111" i="17"/>
  <c r="D73" i="17"/>
  <c r="C73" i="17"/>
  <c r="D72" i="17"/>
  <c r="C72" i="17"/>
  <c r="D71" i="17"/>
  <c r="C71" i="17"/>
  <c r="D70" i="17"/>
  <c r="C70" i="17"/>
  <c r="D69" i="17"/>
  <c r="C69" i="17"/>
  <c r="D68" i="17"/>
  <c r="C68" i="17"/>
  <c r="D67" i="17"/>
  <c r="C67" i="17"/>
  <c r="D66" i="17"/>
  <c r="C66" i="17"/>
  <c r="D65" i="17"/>
  <c r="C65" i="17"/>
  <c r="D64" i="17"/>
  <c r="C64" i="17"/>
  <c r="D63" i="17"/>
  <c r="C63" i="17"/>
  <c r="D62" i="17"/>
  <c r="C62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D24" i="17"/>
  <c r="D23" i="17"/>
  <c r="D22" i="17"/>
  <c r="D21" i="17"/>
  <c r="D20" i="17"/>
  <c r="D19" i="17"/>
  <c r="D18" i="17"/>
  <c r="D17" i="17"/>
  <c r="D16" i="17"/>
  <c r="D15" i="17"/>
  <c r="C24" i="17"/>
  <c r="C23" i="17"/>
  <c r="C22" i="17"/>
  <c r="C21" i="17"/>
  <c r="C20" i="17"/>
  <c r="C19" i="17"/>
  <c r="C18" i="17"/>
  <c r="C17" i="17"/>
  <c r="C16" i="17"/>
  <c r="C15" i="17"/>
  <c r="D14" i="17"/>
  <c r="D13" i="17"/>
  <c r="C14" i="17"/>
  <c r="C13" i="17"/>
  <c r="B50" i="20"/>
  <c r="B51" i="20" s="1"/>
  <c r="B54" i="20" s="1"/>
  <c r="C28" i="20"/>
  <c r="B28" i="20"/>
  <c r="C27" i="31"/>
  <c r="B27" i="31"/>
  <c r="C27" i="30"/>
  <c r="B27" i="30"/>
  <c r="C27" i="29"/>
  <c r="B27" i="29"/>
  <c r="C27" i="28"/>
  <c r="B27" i="28"/>
  <c r="C27" i="27"/>
  <c r="B27" i="27"/>
  <c r="C27" i="26"/>
  <c r="B27" i="26"/>
  <c r="C27" i="25"/>
  <c r="B27" i="25"/>
  <c r="C27" i="24"/>
  <c r="B27" i="24"/>
  <c r="C27" i="23"/>
  <c r="B27" i="23"/>
  <c r="C27" i="22"/>
  <c r="B27" i="22"/>
  <c r="C27" i="21"/>
  <c r="B27" i="21"/>
  <c r="B52" i="20"/>
  <c r="B50" i="21" s="1"/>
  <c r="C27" i="20"/>
  <c r="B27" i="20"/>
  <c r="B52" i="21" l="1"/>
  <c r="B50" i="22" s="1"/>
  <c r="B52" i="22" s="1"/>
  <c r="B50" i="23" s="1"/>
  <c r="B52" i="23" s="1"/>
  <c r="B50" i="24" s="1"/>
  <c r="B52" i="24" s="1"/>
  <c r="B50" i="25" s="1"/>
  <c r="B52" i="25" s="1"/>
  <c r="B50" i="26" s="1"/>
  <c r="B52" i="26" s="1"/>
  <c r="B50" i="27" s="1"/>
  <c r="B51" i="21"/>
  <c r="B54" i="21" s="1"/>
  <c r="B59" i="20"/>
  <c r="B60" i="20" s="1"/>
  <c r="D126" i="17"/>
  <c r="B30" i="20"/>
  <c r="B28" i="21" s="1"/>
  <c r="B30" i="21" s="1"/>
  <c r="B28" i="22" s="1"/>
  <c r="C29" i="20"/>
  <c r="C32" i="20" s="1"/>
  <c r="C38" i="20" s="1"/>
  <c r="C37" i="21" s="1"/>
  <c r="B29" i="21"/>
  <c r="B32" i="21" s="1"/>
  <c r="B58" i="20"/>
  <c r="B57" i="21" s="1"/>
  <c r="C30" i="20"/>
  <c r="C28" i="21" s="1"/>
  <c r="C30" i="21" s="1"/>
  <c r="C28" i="22" s="1"/>
  <c r="B29" i="20"/>
  <c r="B32" i="20" s="1"/>
  <c r="B58" i="21" l="1"/>
  <c r="B57" i="22" s="1"/>
  <c r="B51" i="24"/>
  <c r="B54" i="24" s="1"/>
  <c r="B51" i="25"/>
  <c r="B54" i="25" s="1"/>
  <c r="B51" i="26"/>
  <c r="B54" i="26" s="1"/>
  <c r="B51" i="22"/>
  <c r="B54" i="22" s="1"/>
  <c r="B58" i="22" s="1"/>
  <c r="B57" i="23" s="1"/>
  <c r="B51" i="23"/>
  <c r="B54" i="23" s="1"/>
  <c r="C30" i="22"/>
  <c r="C28" i="23" s="1"/>
  <c r="C29" i="22"/>
  <c r="C32" i="22" s="1"/>
  <c r="B30" i="22"/>
  <c r="B28" i="23" s="1"/>
  <c r="B29" i="22"/>
  <c r="B32" i="22" s="1"/>
  <c r="C29" i="21"/>
  <c r="C32" i="21" s="1"/>
  <c r="C35" i="21" s="1"/>
  <c r="B59" i="21"/>
  <c r="D127" i="17"/>
  <c r="B52" i="27"/>
  <c r="B50" i="28" s="1"/>
  <c r="B51" i="27"/>
  <c r="B54" i="27" s="1"/>
  <c r="C35" i="20"/>
  <c r="C41" i="20"/>
  <c r="C40" i="21" s="1"/>
  <c r="C41" i="21" s="1"/>
  <c r="C40" i="22" s="1"/>
  <c r="C42" i="20"/>
  <c r="C43" i="20" s="1"/>
  <c r="E33" i="17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62" i="17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B59" i="22" l="1"/>
  <c r="D128" i="17" s="1"/>
  <c r="C35" i="22"/>
  <c r="C42" i="21"/>
  <c r="B58" i="23"/>
  <c r="B57" i="24" s="1"/>
  <c r="B59" i="23"/>
  <c r="D129" i="17" s="1"/>
  <c r="C38" i="21"/>
  <c r="C37" i="22" s="1"/>
  <c r="C38" i="22" s="1"/>
  <c r="C37" i="23" s="1"/>
  <c r="C41" i="22"/>
  <c r="C40" i="23" s="1"/>
  <c r="B59" i="24"/>
  <c r="D130" i="17" s="1"/>
  <c r="B58" i="24"/>
  <c r="B57" i="25" s="1"/>
  <c r="B29" i="23"/>
  <c r="B32" i="23" s="1"/>
  <c r="B30" i="23"/>
  <c r="B28" i="24" s="1"/>
  <c r="D110" i="17"/>
  <c r="E110" i="17" s="1"/>
  <c r="B52" i="28"/>
  <c r="B50" i="29" s="1"/>
  <c r="B51" i="28"/>
  <c r="B54" i="28" s="1"/>
  <c r="C29" i="23"/>
  <c r="C32" i="23" s="1"/>
  <c r="C30" i="23"/>
  <c r="C28" i="24" s="1"/>
  <c r="G4" i="17"/>
  <c r="N4" i="17"/>
  <c r="G5" i="17"/>
  <c r="N5" i="17" s="1"/>
  <c r="G6" i="17"/>
  <c r="N6" i="17" s="1"/>
  <c r="E13" i="17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K44" i="17"/>
  <c r="A53" i="17"/>
  <c r="A102" i="17" s="1"/>
  <c r="A151" i="17" s="1"/>
  <c r="G53" i="17"/>
  <c r="N53" i="17"/>
  <c r="A54" i="17"/>
  <c r="A103" i="17" s="1"/>
  <c r="A152" i="17" s="1"/>
  <c r="A55" i="17"/>
  <c r="A104" i="17" s="1"/>
  <c r="A153" i="17" s="1"/>
  <c r="E126" i="17"/>
  <c r="E127" i="17" s="1"/>
  <c r="E128" i="17" s="1"/>
  <c r="E129" i="17" s="1"/>
  <c r="E130" i="17" s="1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C42" i="23" l="1"/>
  <c r="D111" i="17"/>
  <c r="E111" i="17" s="1"/>
  <c r="C43" i="21"/>
  <c r="C42" i="22"/>
  <c r="D112" i="17" s="1"/>
  <c r="C29" i="24"/>
  <c r="C32" i="24" s="1"/>
  <c r="C30" i="24"/>
  <c r="C28" i="25" s="1"/>
  <c r="B30" i="24"/>
  <c r="B28" i="25" s="1"/>
  <c r="B29" i="24"/>
  <c r="B32" i="24" s="1"/>
  <c r="B51" i="29"/>
  <c r="B54" i="29" s="1"/>
  <c r="B52" i="29"/>
  <c r="B50" i="30" s="1"/>
  <c r="C35" i="23"/>
  <c r="D113" i="17" s="1"/>
  <c r="C38" i="23"/>
  <c r="C37" i="24" s="1"/>
  <c r="B59" i="25"/>
  <c r="D131" i="17" s="1"/>
  <c r="E131" i="17" s="1"/>
  <c r="B58" i="25"/>
  <c r="B57" i="26" s="1"/>
  <c r="C41" i="23"/>
  <c r="C40" i="24" s="1"/>
  <c r="C41" i="24" s="1"/>
  <c r="C40" i="25" s="1"/>
  <c r="G55" i="17"/>
  <c r="N55" i="17" s="1"/>
  <c r="G54" i="17"/>
  <c r="N54" i="17" s="1"/>
  <c r="E112" i="17" l="1"/>
  <c r="C35" i="24"/>
  <c r="C42" i="24"/>
  <c r="C38" i="24"/>
  <c r="C37" i="25" s="1"/>
  <c r="B29" i="25"/>
  <c r="B32" i="25" s="1"/>
  <c r="B30" i="25"/>
  <c r="B28" i="26" s="1"/>
  <c r="B58" i="26"/>
  <c r="B57" i="27" s="1"/>
  <c r="B59" i="26"/>
  <c r="D132" i="17" s="1"/>
  <c r="E132" i="17" s="1"/>
  <c r="C30" i="25"/>
  <c r="C28" i="26" s="1"/>
  <c r="C29" i="25"/>
  <c r="C32" i="25" s="1"/>
  <c r="B52" i="30"/>
  <c r="B50" i="31" s="1"/>
  <c r="B51" i="30"/>
  <c r="B54" i="30" s="1"/>
  <c r="E113" i="17"/>
  <c r="D114" i="17" l="1"/>
  <c r="E114" i="17"/>
  <c r="C29" i="26"/>
  <c r="C32" i="26" s="1"/>
  <c r="C30" i="26"/>
  <c r="C28" i="27" s="1"/>
  <c r="C42" i="25"/>
  <c r="C38" i="25"/>
  <c r="C37" i="26" s="1"/>
  <c r="B52" i="31"/>
  <c r="B51" i="31"/>
  <c r="B54" i="31" s="1"/>
  <c r="B58" i="27"/>
  <c r="B57" i="28" s="1"/>
  <c r="B59" i="27"/>
  <c r="D133" i="17" s="1"/>
  <c r="E133" i="17" s="1"/>
  <c r="B30" i="26"/>
  <c r="B28" i="27" s="1"/>
  <c r="B29" i="26"/>
  <c r="B32" i="26" s="1"/>
  <c r="C35" i="25"/>
  <c r="C41" i="25"/>
  <c r="C40" i="26" s="1"/>
  <c r="C41" i="26" s="1"/>
  <c r="C40" i="27" s="1"/>
  <c r="C38" i="26" l="1"/>
  <c r="C37" i="27" s="1"/>
  <c r="D115" i="17"/>
  <c r="E115" i="17" s="1"/>
  <c r="C35" i="26"/>
  <c r="B30" i="27"/>
  <c r="B28" i="28" s="1"/>
  <c r="B29" i="27"/>
  <c r="B32" i="27" s="1"/>
  <c r="C30" i="27"/>
  <c r="C28" i="28" s="1"/>
  <c r="C29" i="27"/>
  <c r="C32" i="27" s="1"/>
  <c r="B58" i="28"/>
  <c r="B57" i="29" s="1"/>
  <c r="B59" i="28"/>
  <c r="D134" i="17" s="1"/>
  <c r="E134" i="17" s="1"/>
  <c r="C42" i="26"/>
  <c r="C38" i="27" l="1"/>
  <c r="C37" i="28" s="1"/>
  <c r="D116" i="17"/>
  <c r="E116" i="17" s="1"/>
  <c r="B58" i="29"/>
  <c r="B57" i="30" s="1"/>
  <c r="B59" i="29"/>
  <c r="D135" i="17" s="1"/>
  <c r="E135" i="17" s="1"/>
  <c r="C30" i="28"/>
  <c r="C28" i="29" s="1"/>
  <c r="C29" i="28"/>
  <c r="C32" i="28" s="1"/>
  <c r="C42" i="27"/>
  <c r="B30" i="28"/>
  <c r="B28" i="29" s="1"/>
  <c r="B29" i="28"/>
  <c r="B32" i="28" s="1"/>
  <c r="C35" i="27"/>
  <c r="C41" i="27"/>
  <c r="C40" i="28" s="1"/>
  <c r="C41" i="28" s="1"/>
  <c r="C40" i="29" s="1"/>
  <c r="C35" i="28" l="1"/>
  <c r="D117" i="17"/>
  <c r="E117" i="17" s="1"/>
  <c r="B30" i="29"/>
  <c r="B28" i="30" s="1"/>
  <c r="B29" i="29"/>
  <c r="B32" i="29" s="1"/>
  <c r="C42" i="28"/>
  <c r="B58" i="30"/>
  <c r="B57" i="31" s="1"/>
  <c r="B59" i="30"/>
  <c r="D136" i="17" s="1"/>
  <c r="E136" i="17" s="1"/>
  <c r="C29" i="29"/>
  <c r="C32" i="29" s="1"/>
  <c r="C30" i="29"/>
  <c r="C28" i="30" s="1"/>
  <c r="C38" i="28"/>
  <c r="C37" i="29" s="1"/>
  <c r="D118" i="17" l="1"/>
  <c r="E118" i="17" s="1"/>
  <c r="C38" i="29"/>
  <c r="C37" i="30" s="1"/>
  <c r="C42" i="29"/>
  <c r="B58" i="31"/>
  <c r="B59" i="31"/>
  <c r="D137" i="17" s="1"/>
  <c r="E137" i="17" s="1"/>
  <c r="B29" i="30"/>
  <c r="B32" i="30" s="1"/>
  <c r="B30" i="30"/>
  <c r="B28" i="31" s="1"/>
  <c r="C29" i="30"/>
  <c r="C32" i="30" s="1"/>
  <c r="C30" i="30"/>
  <c r="C28" i="31" s="1"/>
  <c r="C35" i="29"/>
  <c r="C41" i="29"/>
  <c r="C40" i="30" s="1"/>
  <c r="C41" i="30" s="1"/>
  <c r="C40" i="31" s="1"/>
  <c r="D119" i="17" l="1"/>
  <c r="E119" i="17" s="1"/>
  <c r="B30" i="31"/>
  <c r="B29" i="31"/>
  <c r="B32" i="31" s="1"/>
  <c r="C42" i="30"/>
  <c r="C35" i="30"/>
  <c r="C41" i="31"/>
  <c r="C30" i="31"/>
  <c r="C29" i="31"/>
  <c r="C32" i="31" s="1"/>
  <c r="C38" i="30"/>
  <c r="C37" i="31" s="1"/>
  <c r="C38" i="31" s="1"/>
  <c r="D120" i="17" l="1"/>
  <c r="E120" i="17" s="1"/>
  <c r="C42" i="31"/>
  <c r="C35" i="31"/>
  <c r="D121" i="17" l="1"/>
  <c r="E121" i="17" s="1"/>
</calcChain>
</file>

<file path=xl/sharedStrings.xml><?xml version="1.0" encoding="utf-8"?>
<sst xmlns="http://schemas.openxmlformats.org/spreadsheetml/2006/main" count="891" uniqueCount="108">
  <si>
    <t>PERÍODO DE APURAÇÃO: 05.26</t>
  </si>
  <si>
    <t>OPERAÇÕES RENDA VARIÁVEL</t>
  </si>
  <si>
    <t>SWING TRADE</t>
  </si>
  <si>
    <t>DAY TRADE:</t>
  </si>
  <si>
    <t>Mercado à vista - ações:</t>
  </si>
  <si>
    <t xml:space="preserve">Isenção de IR </t>
  </si>
  <si>
    <t>Mercado à vista - ouro:</t>
  </si>
  <si>
    <t>I. Referente à alienação até R$ 20 mil no mercado à vista</t>
  </si>
  <si>
    <t>Mercado de opções:</t>
  </si>
  <si>
    <t>Mercado de opções flexíveis:</t>
  </si>
  <si>
    <t>Alienações (Vendas)</t>
  </si>
  <si>
    <t>Ganho Isento</t>
  </si>
  <si>
    <t>Mercado à termo:</t>
  </si>
  <si>
    <t>Ação</t>
  </si>
  <si>
    <t>Mercado futuro - dólar:</t>
  </si>
  <si>
    <t>Ouro</t>
  </si>
  <si>
    <t>Mercado futuro - índices:</t>
  </si>
  <si>
    <t>Mercado futuro - juros:</t>
  </si>
  <si>
    <t>Mercado futuro - outros:</t>
  </si>
  <si>
    <t>Ativos isentos op. DT</t>
  </si>
  <si>
    <t>RESULTADO LÍQUIDO DO MÊS</t>
  </si>
  <si>
    <t>Resultado negativo até o mês anterior</t>
  </si>
  <si>
    <t>BASE DE CÁLCULO DO IMPOSTO:</t>
  </si>
  <si>
    <t>Prejuízo à compensar</t>
  </si>
  <si>
    <t>ALÍQUOTA DO IMPOSTO (%):</t>
  </si>
  <si>
    <t>IMPOSTO DEVIDO:</t>
  </si>
  <si>
    <t>CONSOLIDAÇÃO DO MÊS</t>
  </si>
  <si>
    <t xml:space="preserve"> IR fonte (lei 11.033)</t>
  </si>
  <si>
    <t>Total do imposto devido:</t>
  </si>
  <si>
    <t>IR Retido na fonte em day trade no mês:</t>
  </si>
  <si>
    <t>Recolhido apenas se o valor mensal for maior que R$ 1</t>
  </si>
  <si>
    <t>IR Retido na fonte em day trade nos meses anteriores:</t>
  </si>
  <si>
    <t>IR Retido na fonte em day trade à compensar:</t>
  </si>
  <si>
    <t>Calculo do mês</t>
  </si>
  <si>
    <t>IR Retido na fonte em swing trade no mês:</t>
  </si>
  <si>
    <t>Recolhido no mês</t>
  </si>
  <si>
    <t>IR Retido na fonte em swing trade nos meses anteriores:</t>
  </si>
  <si>
    <t>Meses anteriores</t>
  </si>
  <si>
    <t>IR  Retido na fonte em swing trade à compensar:</t>
  </si>
  <si>
    <t>Compensado</t>
  </si>
  <si>
    <t>Imposto à pagar:</t>
  </si>
  <si>
    <t>À compensar até dezembro</t>
  </si>
  <si>
    <t>Vencimento em:</t>
  </si>
  <si>
    <t>Operações de Fundo de Investimento imobiliário e/ou Fiagros</t>
  </si>
  <si>
    <t>Resultado líquido do mês:</t>
  </si>
  <si>
    <t>Detalhamento do IR fonte (lei 11.033)</t>
  </si>
  <si>
    <t>Valor negativo até o mês anterior:</t>
  </si>
  <si>
    <t>Base de cálculo do imposto:</t>
  </si>
  <si>
    <t>Prejuízo à compensar:</t>
  </si>
  <si>
    <t>IMPOSTO DEVIDO</t>
  </si>
  <si>
    <t>IR Retido na fonte  no mês:</t>
  </si>
  <si>
    <t>IR Retido na fonte nos meses anteriores:</t>
  </si>
  <si>
    <t>IR Retido na fonte à compensar:</t>
  </si>
  <si>
    <t xml:space="preserve">INVESTIDOR: </t>
  </si>
  <si>
    <t xml:space="preserve">CPF: </t>
  </si>
  <si>
    <t>Ativos isentos op. ST</t>
  </si>
  <si>
    <t>II. Referente à ações de pequenas e médias empresas</t>
  </si>
  <si>
    <t>PERÍODO DE APURAÇÃO: 01.26</t>
  </si>
  <si>
    <t>PERÍODO DE APURAÇÃO: 02.26</t>
  </si>
  <si>
    <t>PERÍODO DE APURAÇÃO: 03.26</t>
  </si>
  <si>
    <t>PERÍODO DE APURAÇÃO: 04.26</t>
  </si>
  <si>
    <t>PERÍODO DE APURAÇÃO: 06.26</t>
  </si>
  <si>
    <t>PERÍODO DE APURAÇÃO: 07.26</t>
  </si>
  <si>
    <t>PERÍODO DE APURAÇÃO: 08.26</t>
  </si>
  <si>
    <t>PERÍODO DE APURAÇÃO: 09.26</t>
  </si>
  <si>
    <t>PERÍODO DE APURAÇÃO: 10.26</t>
  </si>
  <si>
    <t>PERÍODO DE APURAÇÃO: 11.26</t>
  </si>
  <si>
    <t>PERÍODO DE APURAÇÃO: 12.26</t>
  </si>
  <si>
    <t>TOTAL</t>
  </si>
  <si>
    <t>IR. COMPENSADO</t>
  </si>
  <si>
    <t>VALOR</t>
  </si>
  <si>
    <t xml:space="preserve">MÊS </t>
  </si>
  <si>
    <t>ACOMPANHAMENTO DE DARF'S.</t>
  </si>
  <si>
    <t>ACUMULADO</t>
  </si>
  <si>
    <t>IR. RETIDO NO MÊS</t>
  </si>
  <si>
    <t>MÊS</t>
  </si>
  <si>
    <t>COMPENSAÇÃO DE IR. RETIDO NA FONTE EM FIIS.</t>
  </si>
  <si>
    <t xml:space="preserve"> COMPENSAÇÃO DE IR. RETIDO NA FONTE EM D.T. / S.T.</t>
  </si>
  <si>
    <t>PREJUÍZOS ACUMULADOS:</t>
  </si>
  <si>
    <t>SALDO ACUM.</t>
  </si>
  <si>
    <t>LUCRO</t>
  </si>
  <si>
    <t>PREJUÍZO</t>
  </si>
  <si>
    <t>RESULTADOS EM FUNDOS IMOBILIÁRIOS (ANUAL)</t>
  </si>
  <si>
    <t>EVOLUÇÃO PATRIMONIAL (ANUAL)</t>
  </si>
  <si>
    <t>POSIÇÃO DA CARTEIRA POR ATIVO (MENSAL)</t>
  </si>
  <si>
    <t>VALOR TOTAL DE PATRIMÔNIO ACUMULADO:</t>
  </si>
  <si>
    <t>VENCIMENTO</t>
  </si>
  <si>
    <t>QUANTIDADE</t>
  </si>
  <si>
    <t>ATIVO</t>
  </si>
  <si>
    <t>OPERAÇÃO</t>
  </si>
  <si>
    <t>RESULTADOS EM SWING TRADE (ANUAL)</t>
  </si>
  <si>
    <t>TARIFA</t>
  </si>
  <si>
    <t>PRÊMIO</t>
  </si>
  <si>
    <t>VARIÁVEL</t>
  </si>
  <si>
    <t>RENDIMENTO</t>
  </si>
  <si>
    <t>CUSTO TOTAL</t>
  </si>
  <si>
    <t>PREÇO MÉDIO</t>
  </si>
  <si>
    <t>PAPEL</t>
  </si>
  <si>
    <t xml:space="preserve">DERIVATIVOS EM CARTEIRA </t>
  </si>
  <si>
    <t>ATIVOS EM CARTEIRA</t>
  </si>
  <si>
    <t>RESULTADOS EM DAY TRADE (ANUAL)</t>
  </si>
  <si>
    <t>APURAÇÃO  B3</t>
  </si>
  <si>
    <t>PERÍODO DE APURAÇÃO: 2026</t>
  </si>
  <si>
    <t>PREJUÍZOS ACUMULADOS:2025</t>
  </si>
  <si>
    <t>CONTROLE DE ATIVOS</t>
  </si>
  <si>
    <t>Informações complementares:</t>
  </si>
  <si>
    <t>RESULTADO ANUAL</t>
  </si>
  <si>
    <t>OPÇÕES DE MERCADO FUTURO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</si>
</sst>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[$-416]mmmm/yyyy;@"/>
    <numFmt numFmtId="165" formatCode="_-&quot;R$&quot;* #,##0.00_-;\-&quot;R$&quot;* #,##0.00_-;_-&quot;R$&quot;* &quot;-&quot;??_-;_-@_-"/>
    <numFmt numFmtId="166" formatCode="_-[$R$-416]\ * #,##0.00_-;\-[$R$-416]\ * #,##0.00_-;_-[$R$-416]\ * &quot;-&quot;??_-;_-@_-"/>
    <numFmt numFmtId="167" formatCode="_(&quot;R$&quot;* #,##0.00_);_(&quot;R$&quot;* \(#,##0.00\);_(&quot;R$&quot;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D1D2D3"/>
      <name val="Arial"/>
      <family val="2"/>
    </font>
    <font>
      <b/>
      <u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/>
    <xf numFmtId="167" fontId="1" fillId="0" borderId="0"/>
    <xf numFmtId="9" fontId="1" fillId="0" borderId="0"/>
  </cellStyleXfs>
  <cellXfs count="15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4" fillId="2" borderId="0" xfId="0" applyFont="1" applyFill="1"/>
    <xf numFmtId="0" fontId="4" fillId="2" borderId="5" xfId="0" applyFont="1" applyFill="1" applyBorder="1"/>
    <xf numFmtId="0" fontId="5" fillId="2" borderId="0" xfId="0" applyFont="1" applyFill="1" applyAlignment="1">
      <alignment vertical="center" wrapText="1"/>
    </xf>
    <xf numFmtId="0" fontId="6" fillId="2" borderId="4" xfId="0" applyFont="1" applyFill="1" applyBorder="1"/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/>
    <xf numFmtId="0" fontId="8" fillId="2" borderId="12" xfId="0" applyFont="1" applyFill="1" applyBorder="1"/>
    <xf numFmtId="0" fontId="8" fillId="2" borderId="0" xfId="0" applyFont="1" applyFill="1"/>
    <xf numFmtId="0" fontId="8" fillId="2" borderId="5" xfId="0" applyFont="1" applyFill="1" applyBorder="1"/>
    <xf numFmtId="0" fontId="9" fillId="2" borderId="10" xfId="0" applyFont="1" applyFill="1" applyBorder="1" applyAlignment="1">
      <alignment vertical="center"/>
    </xf>
    <xf numFmtId="165" fontId="10" fillId="2" borderId="11" xfId="3" applyFont="1" applyFill="1" applyBorder="1"/>
    <xf numFmtId="44" fontId="8" fillId="2" borderId="0" xfId="1" applyFont="1" applyFill="1"/>
    <xf numFmtId="166" fontId="8" fillId="2" borderId="0" xfId="0" applyNumberFormat="1" applyFont="1" applyFill="1"/>
    <xf numFmtId="166" fontId="8" fillId="2" borderId="0" xfId="2" applyNumberFormat="1" applyFont="1" applyFill="1"/>
    <xf numFmtId="0" fontId="4" fillId="2" borderId="10" xfId="0" applyFont="1" applyFill="1" applyBorder="1" applyAlignment="1">
      <alignment horizontal="left"/>
    </xf>
    <xf numFmtId="165" fontId="12" fillId="2" borderId="11" xfId="3" applyFont="1" applyFill="1" applyBorder="1"/>
    <xf numFmtId="0" fontId="8" fillId="2" borderId="10" xfId="0" applyFont="1" applyFill="1" applyBorder="1" applyAlignment="1">
      <alignment horizontal="left"/>
    </xf>
    <xf numFmtId="165" fontId="13" fillId="2" borderId="11" xfId="3" applyFont="1" applyFill="1" applyBorder="1"/>
    <xf numFmtId="0" fontId="10" fillId="2" borderId="10" xfId="0" applyFont="1" applyFill="1" applyBorder="1" applyAlignment="1">
      <alignment horizontal="left"/>
    </xf>
    <xf numFmtId="165" fontId="8" fillId="2" borderId="11" xfId="3" applyFont="1" applyFill="1" applyBorder="1"/>
    <xf numFmtId="0" fontId="14" fillId="2" borderId="10" xfId="0" applyFont="1" applyFill="1" applyBorder="1" applyAlignment="1">
      <alignment horizontal="left"/>
    </xf>
    <xf numFmtId="9" fontId="14" fillId="2" borderId="11" xfId="3" applyNumberFormat="1" applyFont="1" applyFill="1" applyBorder="1"/>
    <xf numFmtId="0" fontId="13" fillId="2" borderId="10" xfId="0" applyFont="1" applyFill="1" applyBorder="1" applyAlignment="1">
      <alignment horizontal="left"/>
    </xf>
    <xf numFmtId="0" fontId="8" fillId="2" borderId="4" xfId="0" applyFont="1" applyFill="1" applyBorder="1"/>
    <xf numFmtId="166" fontId="8" fillId="2" borderId="11" xfId="0" applyNumberFormat="1" applyFont="1" applyFill="1" applyBorder="1"/>
    <xf numFmtId="0" fontId="15" fillId="2" borderId="0" xfId="0" applyFont="1" applyFill="1"/>
    <xf numFmtId="166" fontId="13" fillId="2" borderId="11" xfId="0" applyNumberFormat="1" applyFont="1" applyFill="1" applyBorder="1"/>
    <xf numFmtId="0" fontId="8" fillId="2" borderId="15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10" xfId="0" applyFont="1" applyFill="1" applyBorder="1"/>
    <xf numFmtId="0" fontId="13" fillId="2" borderId="10" xfId="0" applyFont="1" applyFill="1" applyBorder="1"/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4" fillId="2" borderId="5" xfId="0" applyFont="1" applyFill="1" applyBorder="1" applyAlignment="1">
      <alignment vertical="center"/>
    </xf>
    <xf numFmtId="0" fontId="21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7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3" fontId="2" fillId="5" borderId="11" xfId="0" applyNumberFormat="1" applyFont="1" applyFill="1" applyBorder="1" applyAlignment="1">
      <alignment horizontal="center" vertical="center"/>
    </xf>
    <xf numFmtId="166" fontId="2" fillId="5" borderId="11" xfId="0" applyNumberFormat="1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166" fontId="20" fillId="5" borderId="11" xfId="0" applyNumberFormat="1" applyFont="1" applyFill="1" applyBorder="1" applyAlignment="1">
      <alignment horizontal="center" vertical="center"/>
    </xf>
    <xf numFmtId="166" fontId="12" fillId="7" borderId="11" xfId="0" applyNumberFormat="1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center" vertical="center"/>
    </xf>
    <xf numFmtId="167" fontId="10" fillId="2" borderId="11" xfId="4" applyFont="1" applyFill="1" applyBorder="1" applyAlignment="1">
      <alignment horizontal="center" vertical="center"/>
    </xf>
    <xf numFmtId="2" fontId="10" fillId="2" borderId="11" xfId="0" applyNumberFormat="1" applyFont="1" applyFill="1" applyBorder="1" applyAlignment="1">
      <alignment horizontal="center" vertical="center"/>
    </xf>
    <xf numFmtId="10" fontId="10" fillId="2" borderId="11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17" fontId="8" fillId="0" borderId="11" xfId="0" applyNumberFormat="1" applyFont="1" applyBorder="1" applyAlignment="1">
      <alignment horizontal="center" vertical="center"/>
    </xf>
    <xf numFmtId="166" fontId="13" fillId="0" borderId="11" xfId="0" applyNumberFormat="1" applyFont="1" applyBorder="1" applyAlignment="1">
      <alignment horizontal="left" vertical="center"/>
    </xf>
    <xf numFmtId="166" fontId="23" fillId="0" borderId="11" xfId="0" applyNumberFormat="1" applyFont="1" applyBorder="1" applyAlignment="1">
      <alignment horizontal="left" vertical="center"/>
    </xf>
    <xf numFmtId="0" fontId="28" fillId="0" borderId="4" xfId="0" applyFont="1" applyBorder="1" applyAlignment="1">
      <alignment vertical="center"/>
    </xf>
    <xf numFmtId="167" fontId="26" fillId="5" borderId="11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166" fontId="0" fillId="2" borderId="5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7" fontId="0" fillId="0" borderId="5" xfId="4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3" fontId="24" fillId="5" borderId="11" xfId="0" applyNumberFormat="1" applyFont="1" applyFill="1" applyBorder="1" applyAlignment="1">
      <alignment horizontal="center" vertical="center"/>
    </xf>
    <xf numFmtId="166" fontId="24" fillId="5" borderId="20" xfId="0" applyNumberFormat="1" applyFont="1" applyFill="1" applyBorder="1" applyAlignment="1">
      <alignment horizontal="center" vertical="center"/>
    </xf>
    <xf numFmtId="166" fontId="24" fillId="5" borderId="11" xfId="0" applyNumberFormat="1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22" fillId="2" borderId="11" xfId="0" applyNumberFormat="1" applyFont="1" applyFill="1" applyBorder="1" applyAlignment="1">
      <alignment horizontal="left" vertical="center"/>
    </xf>
    <xf numFmtId="166" fontId="23" fillId="2" borderId="11" xfId="0" applyNumberFormat="1" applyFont="1" applyFill="1" applyBorder="1" applyAlignment="1">
      <alignment horizontal="left" vertical="center"/>
    </xf>
    <xf numFmtId="166" fontId="20" fillId="5" borderId="20" xfId="0" applyNumberFormat="1" applyFont="1" applyFill="1" applyBorder="1" applyAlignment="1">
      <alignment horizontal="center" vertical="center"/>
    </xf>
    <xf numFmtId="166" fontId="8" fillId="0" borderId="11" xfId="0" applyNumberFormat="1" applyFont="1" applyBorder="1" applyAlignment="1">
      <alignment horizontal="left" vertical="center"/>
    </xf>
    <xf numFmtId="167" fontId="8" fillId="0" borderId="11" xfId="4" applyFont="1" applyBorder="1" applyAlignment="1">
      <alignment horizontal="left" vertical="center"/>
    </xf>
    <xf numFmtId="167" fontId="18" fillId="0" borderId="11" xfId="4" applyFont="1" applyBorder="1" applyAlignment="1">
      <alignment horizontal="left" vertical="center"/>
    </xf>
    <xf numFmtId="0" fontId="2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9" fontId="0" fillId="0" borderId="0" xfId="5" applyFont="1" applyAlignment="1">
      <alignment vertical="center"/>
    </xf>
    <xf numFmtId="9" fontId="0" fillId="2" borderId="0" xfId="5" applyFont="1" applyFill="1" applyAlignment="1">
      <alignment vertical="center"/>
    </xf>
    <xf numFmtId="9" fontId="0" fillId="0" borderId="0" xfId="0" applyNumberFormat="1" applyAlignment="1">
      <alignment vertical="center"/>
    </xf>
    <xf numFmtId="9" fontId="0" fillId="2" borderId="0" xfId="0" applyNumberFormat="1" applyFill="1" applyAlignment="1">
      <alignment vertical="center"/>
    </xf>
    <xf numFmtId="17" fontId="8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left" vertical="center"/>
    </xf>
    <xf numFmtId="166" fontId="23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167" fontId="0" fillId="0" borderId="0" xfId="4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9" fillId="2" borderId="0" xfId="0" applyFont="1" applyFill="1"/>
    <xf numFmtId="0" fontId="8" fillId="2" borderId="0" xfId="0" applyFont="1" applyFill="1" applyAlignment="1">
      <alignment horizontal="left"/>
    </xf>
    <xf numFmtId="0" fontId="0" fillId="0" borderId="0" xfId="0"/>
    <xf numFmtId="166" fontId="8" fillId="2" borderId="0" xfId="0" applyNumberFormat="1" applyFont="1" applyFill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0" xfId="0" applyFill="1"/>
    <xf numFmtId="0" fontId="0" fillId="2" borderId="5" xfId="0" applyFill="1" applyBorder="1"/>
    <xf numFmtId="0" fontId="0" fillId="2" borderId="4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8" fillId="2" borderId="10" xfId="0" applyFont="1" applyFill="1" applyBorder="1" applyAlignment="1">
      <alignment horizontal="left"/>
    </xf>
    <xf numFmtId="0" fontId="0" fillId="0" borderId="14" xfId="0" applyBorder="1"/>
    <xf numFmtId="0" fontId="13" fillId="2" borderId="10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center"/>
    </xf>
    <xf numFmtId="0" fontId="0" fillId="0" borderId="5" xfId="0" applyBorder="1"/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164" fontId="2" fillId="3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0" borderId="13" xfId="0" applyBorder="1"/>
    <xf numFmtId="0" fontId="8" fillId="2" borderId="1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17" fontId="25" fillId="8" borderId="20" xfId="0" applyNumberFormat="1" applyFont="1" applyFill="1" applyBorder="1" applyAlignment="1">
      <alignment horizontal="center" vertical="center"/>
    </xf>
    <xf numFmtId="17" fontId="25" fillId="8" borderId="13" xfId="0" applyNumberFormat="1" applyFont="1" applyFill="1" applyBorder="1" applyAlignment="1">
      <alignment horizontal="center" vertical="center"/>
    </xf>
    <xf numFmtId="17" fontId="25" fillId="8" borderId="14" xfId="0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5" borderId="23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27" fillId="5" borderId="11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17" fontId="25" fillId="8" borderId="11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 wrapText="1"/>
    </xf>
    <xf numFmtId="14" fontId="8" fillId="2" borderId="11" xfId="0" applyNumberFormat="1" applyFont="1" applyFill="1" applyBorder="1" applyAlignment="1">
      <alignment horizontal="right"/>
    </xf>
    <xf numFmtId="0" fontId="10" fillId="2" borderId="10" xfId="0" applyFont="1" applyFill="1" applyBorder="1"/>
  </cellXfs>
  <cellStyles count="6">
    <cellStyle name="Moeda" xfId="1" builtinId="4"/>
    <cellStyle name="Moeda 2" xfId="3" xr:uid="{0FA1CB41-B401-41B4-94B9-CE4A92E68A39}"/>
    <cellStyle name="Moeda 3" xfId="4" xr:uid="{CB288FBB-33F7-4760-AA2D-A9EC7525AB16}"/>
    <cellStyle name="Normal" xfId="0" builtinId="0"/>
    <cellStyle name="Porcentagem" xfId="2" builtinId="5"/>
    <cellStyle name="Porcentagem 2" xfId="5" xr:uid="{895DF896-0D85-4A5D-A3C2-FE4CE268D5F5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499" cy="784412"/>
    <xdr:pic>
      <xdr:nvPicPr>
        <xdr:cNvPr id="4" name="Imagem 2">
          <a:extLst>
            <a:ext uri="{FF2B5EF4-FFF2-40B4-BE49-F238E27FC236}">
              <a16:creationId xmlns:a16="http://schemas.microsoft.com/office/drawing/2014/main" id="{594151D3-F6F2-4B9B-844A-4BDCC94B5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0" y="0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541250</xdr:colOff>
      <xdr:row>0</xdr:row>
      <xdr:rowOff>94688</xdr:rowOff>
    </xdr:from>
    <xdr:ext cx="1064555" cy="434229"/>
    <xdr:pic>
      <xdr:nvPicPr>
        <xdr:cNvPr id="5" name="Imagem 3">
          <a:extLst>
            <a:ext uri="{FF2B5EF4-FFF2-40B4-BE49-F238E27FC236}">
              <a16:creationId xmlns:a16="http://schemas.microsoft.com/office/drawing/2014/main" id="{6B5005F7-0ED0-4A16-8F91-5ECC88129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2979650" y="94688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776473</xdr:colOff>
      <xdr:row>0</xdr:row>
      <xdr:rowOff>0</xdr:rowOff>
    </xdr:from>
    <xdr:ext cx="4762499" cy="784412"/>
    <xdr:pic>
      <xdr:nvPicPr>
        <xdr:cNvPr id="6" name="Imagem 4">
          <a:extLst>
            <a:ext uri="{FF2B5EF4-FFF2-40B4-BE49-F238E27FC236}">
              <a16:creationId xmlns:a16="http://schemas.microsoft.com/office/drawing/2014/main" id="{BAF593DB-EF20-4D4C-A337-35063BCD3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3653023" y="0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0</xdr:row>
      <xdr:rowOff>0</xdr:rowOff>
    </xdr:from>
    <xdr:ext cx="4762499" cy="784412"/>
    <xdr:pic>
      <xdr:nvPicPr>
        <xdr:cNvPr id="7" name="Imagem 5">
          <a:extLst>
            <a:ext uri="{FF2B5EF4-FFF2-40B4-BE49-F238E27FC236}">
              <a16:creationId xmlns:a16="http://schemas.microsoft.com/office/drawing/2014/main" id="{B3760F24-831F-428A-AA9B-CA556552F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7924800" y="0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1175809</xdr:colOff>
      <xdr:row>0</xdr:row>
      <xdr:rowOff>27214</xdr:rowOff>
    </xdr:from>
    <xdr:ext cx="1064555" cy="434229"/>
    <xdr:pic>
      <xdr:nvPicPr>
        <xdr:cNvPr id="8" name="Imagem 7">
          <a:extLst>
            <a:ext uri="{FF2B5EF4-FFF2-40B4-BE49-F238E27FC236}">
              <a16:creationId xmlns:a16="http://schemas.microsoft.com/office/drawing/2014/main" id="{1EF37D81-2D7F-44DF-8017-0C22275F9B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11476416" y="27214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18</xdr:col>
      <xdr:colOff>809635</xdr:colOff>
      <xdr:row>0</xdr:row>
      <xdr:rowOff>78445</xdr:rowOff>
    </xdr:from>
    <xdr:ext cx="1064555" cy="434229"/>
    <xdr:pic>
      <xdr:nvPicPr>
        <xdr:cNvPr id="9" name="Imagem 8">
          <a:extLst>
            <a:ext uri="{FF2B5EF4-FFF2-40B4-BE49-F238E27FC236}">
              <a16:creationId xmlns:a16="http://schemas.microsoft.com/office/drawing/2014/main" id="{9779F6BB-E290-4A3B-B731-343BC10208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11582410" y="78445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49</xdr:row>
      <xdr:rowOff>14741</xdr:rowOff>
    </xdr:from>
    <xdr:ext cx="4762499" cy="784412"/>
    <xdr:pic>
      <xdr:nvPicPr>
        <xdr:cNvPr id="10" name="Imagem 9">
          <a:extLst>
            <a:ext uri="{FF2B5EF4-FFF2-40B4-BE49-F238E27FC236}">
              <a16:creationId xmlns:a16="http://schemas.microsoft.com/office/drawing/2014/main" id="{F275366A-D9E2-40DE-961F-00E697EB0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0" y="9580562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541250</xdr:colOff>
      <xdr:row>49</xdr:row>
      <xdr:rowOff>128306</xdr:rowOff>
    </xdr:from>
    <xdr:ext cx="1064555" cy="434229"/>
    <xdr:pic>
      <xdr:nvPicPr>
        <xdr:cNvPr id="11" name="Imagem 10">
          <a:extLst>
            <a:ext uri="{FF2B5EF4-FFF2-40B4-BE49-F238E27FC236}">
              <a16:creationId xmlns:a16="http://schemas.microsoft.com/office/drawing/2014/main" id="{9291F7ED-0BE2-4F78-AF74-71304ACD6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2979650" y="9462806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7937</xdr:colOff>
      <xdr:row>98</xdr:row>
      <xdr:rowOff>7937</xdr:rowOff>
    </xdr:from>
    <xdr:ext cx="4762499" cy="784412"/>
    <xdr:pic>
      <xdr:nvPicPr>
        <xdr:cNvPr id="12" name="Imagem 11">
          <a:extLst>
            <a:ext uri="{FF2B5EF4-FFF2-40B4-BE49-F238E27FC236}">
              <a16:creationId xmlns:a16="http://schemas.microsoft.com/office/drawing/2014/main" id="{8A496415-C290-4074-9BDD-0DA56B22C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7937" y="18676937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541250</xdr:colOff>
      <xdr:row>98</xdr:row>
      <xdr:rowOff>128306</xdr:rowOff>
    </xdr:from>
    <xdr:ext cx="1064555" cy="434229"/>
    <xdr:pic>
      <xdr:nvPicPr>
        <xdr:cNvPr id="13" name="Imagem 12">
          <a:extLst>
            <a:ext uri="{FF2B5EF4-FFF2-40B4-BE49-F238E27FC236}">
              <a16:creationId xmlns:a16="http://schemas.microsoft.com/office/drawing/2014/main" id="{862C25E7-B781-4AA7-B8A5-C7DFC01BC2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2979650" y="18797306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147</xdr:row>
      <xdr:rowOff>7937</xdr:rowOff>
    </xdr:from>
    <xdr:ext cx="4762499" cy="784412"/>
    <xdr:pic>
      <xdr:nvPicPr>
        <xdr:cNvPr id="14" name="Imagem 13">
          <a:extLst>
            <a:ext uri="{FF2B5EF4-FFF2-40B4-BE49-F238E27FC236}">
              <a16:creationId xmlns:a16="http://schemas.microsoft.com/office/drawing/2014/main" id="{08CA13E2-9EEF-4ECD-A7E1-47BB927A4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0" y="27820937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541250</xdr:colOff>
      <xdr:row>147</xdr:row>
      <xdr:rowOff>128306</xdr:rowOff>
    </xdr:from>
    <xdr:ext cx="1064555" cy="434229"/>
    <xdr:pic>
      <xdr:nvPicPr>
        <xdr:cNvPr id="15" name="Imagem 14">
          <a:extLst>
            <a:ext uri="{FF2B5EF4-FFF2-40B4-BE49-F238E27FC236}">
              <a16:creationId xmlns:a16="http://schemas.microsoft.com/office/drawing/2014/main" id="{EB4F5237-F10B-4B80-9E9E-8458147BC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2979650" y="27941306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7937</xdr:colOff>
      <xdr:row>49</xdr:row>
      <xdr:rowOff>13607</xdr:rowOff>
    </xdr:from>
    <xdr:ext cx="4762499" cy="784412"/>
    <xdr:pic>
      <xdr:nvPicPr>
        <xdr:cNvPr id="16" name="Imagem 15">
          <a:extLst>
            <a:ext uri="{FF2B5EF4-FFF2-40B4-BE49-F238E27FC236}">
              <a16:creationId xmlns:a16="http://schemas.microsoft.com/office/drawing/2014/main" id="{2B2D2EE4-9EE8-41F3-B103-8CE0FCD24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6539366" y="9579428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1154199</xdr:colOff>
      <xdr:row>49</xdr:row>
      <xdr:rowOff>78442</xdr:rowOff>
    </xdr:from>
    <xdr:ext cx="1064555" cy="434229"/>
    <xdr:pic>
      <xdr:nvPicPr>
        <xdr:cNvPr id="17" name="Imagem 16">
          <a:extLst>
            <a:ext uri="{FF2B5EF4-FFF2-40B4-BE49-F238E27FC236}">
              <a16:creationId xmlns:a16="http://schemas.microsoft.com/office/drawing/2014/main" id="{5429ECF7-9808-44A2-811E-81CD8CE6CA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11454806" y="9644263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0</xdr:colOff>
      <xdr:row>49</xdr:row>
      <xdr:rowOff>7937</xdr:rowOff>
    </xdr:from>
    <xdr:ext cx="4762499" cy="784412"/>
    <xdr:pic>
      <xdr:nvPicPr>
        <xdr:cNvPr id="18" name="Imagem 17">
          <a:extLst>
            <a:ext uri="{FF2B5EF4-FFF2-40B4-BE49-F238E27FC236}">
              <a16:creationId xmlns:a16="http://schemas.microsoft.com/office/drawing/2014/main" id="{BB30E52E-2648-4DE2-A3DB-1D8995F7F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flipH="1" flipV="1">
          <a:off x="7924800" y="9342437"/>
          <a:ext cx="4762499" cy="78441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18</xdr:col>
      <xdr:colOff>809635</xdr:colOff>
      <xdr:row>49</xdr:row>
      <xdr:rowOff>78445</xdr:rowOff>
    </xdr:from>
    <xdr:ext cx="1064555" cy="434229"/>
    <xdr:pic>
      <xdr:nvPicPr>
        <xdr:cNvPr id="19" name="Imagem 18">
          <a:extLst>
            <a:ext uri="{FF2B5EF4-FFF2-40B4-BE49-F238E27FC236}">
              <a16:creationId xmlns:a16="http://schemas.microsoft.com/office/drawing/2014/main" id="{BA553AC8-DA02-461B-B40D-E54C8AD5C1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388" t="22363" r="7908" b="37336"/>
        <a:stretch>
          <a:fillRect/>
        </a:stretch>
      </xdr:blipFill>
      <xdr:spPr>
        <a:xfrm>
          <a:off x="11582410" y="9412945"/>
          <a:ext cx="1064555" cy="434229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557893</xdr:colOff>
      <xdr:row>2</xdr:row>
      <xdr:rowOff>136073</xdr:rowOff>
    </xdr:from>
    <xdr:ext cx="2086990" cy="489856"/>
    <xdr:pic>
      <xdr:nvPicPr>
        <xdr:cNvPr id="20" name="Imagem 19">
          <a:extLst>
            <a:ext uri="{FF2B5EF4-FFF2-40B4-BE49-F238E27FC236}">
              <a16:creationId xmlns:a16="http://schemas.microsoft.com/office/drawing/2014/main" id="{DA792881-6470-47D8-B58B-A8019C50D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3893" y="517073"/>
          <a:ext cx="2086990" cy="489856"/>
        </a:xfrm>
        <a:prstGeom prst="rect">
          <a:avLst/>
        </a:prstGeom>
      </xdr:spPr>
    </xdr:pic>
    <xdr:clientData/>
  </xdr:oneCellAnchor>
  <xdr:oneCellAnchor>
    <xdr:from>
      <xdr:col>3</xdr:col>
      <xdr:colOff>1132114</xdr:colOff>
      <xdr:row>2</xdr:row>
      <xdr:rowOff>193223</xdr:rowOff>
    </xdr:from>
    <xdr:ext cx="2086990" cy="489856"/>
    <xdr:pic>
      <xdr:nvPicPr>
        <xdr:cNvPr id="21" name="Imagem 20">
          <a:extLst>
            <a:ext uri="{FF2B5EF4-FFF2-40B4-BE49-F238E27FC236}">
              <a16:creationId xmlns:a16="http://schemas.microsoft.com/office/drawing/2014/main" id="{61A679EB-2A6E-4A21-8385-C0EAF031B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7039" y="574223"/>
          <a:ext cx="2086990" cy="489856"/>
        </a:xfrm>
        <a:prstGeom prst="rect">
          <a:avLst/>
        </a:prstGeom>
      </xdr:spPr>
    </xdr:pic>
    <xdr:clientData/>
  </xdr:oneCellAnchor>
  <xdr:oneCellAnchor>
    <xdr:from>
      <xdr:col>18</xdr:col>
      <xdr:colOff>288472</xdr:colOff>
      <xdr:row>2</xdr:row>
      <xdr:rowOff>166009</xdr:rowOff>
    </xdr:from>
    <xdr:ext cx="2086990" cy="489856"/>
    <xdr:pic>
      <xdr:nvPicPr>
        <xdr:cNvPr id="22" name="Imagem 21">
          <a:extLst>
            <a:ext uri="{FF2B5EF4-FFF2-40B4-BE49-F238E27FC236}">
              <a16:creationId xmlns:a16="http://schemas.microsoft.com/office/drawing/2014/main" id="{C07A7AB8-143F-4774-8BF1-1F7516749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61272" y="547009"/>
          <a:ext cx="2086990" cy="489856"/>
        </a:xfrm>
        <a:prstGeom prst="rect">
          <a:avLst/>
        </a:prstGeom>
      </xdr:spPr>
    </xdr:pic>
    <xdr:clientData/>
  </xdr:oneCellAnchor>
  <xdr:oneCellAnchor>
    <xdr:from>
      <xdr:col>18</xdr:col>
      <xdr:colOff>231322</xdr:colOff>
      <xdr:row>52</xdr:row>
      <xdr:rowOff>-1</xdr:rowOff>
    </xdr:from>
    <xdr:ext cx="2086990" cy="489856"/>
    <xdr:pic>
      <xdr:nvPicPr>
        <xdr:cNvPr id="23" name="Imagem 22">
          <a:extLst>
            <a:ext uri="{FF2B5EF4-FFF2-40B4-BE49-F238E27FC236}">
              <a16:creationId xmlns:a16="http://schemas.microsoft.com/office/drawing/2014/main" id="{6425D94C-52EC-4AF2-AD30-0B3107B04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04122" y="9905999"/>
          <a:ext cx="2086990" cy="489856"/>
        </a:xfrm>
        <a:prstGeom prst="rect">
          <a:avLst/>
        </a:prstGeom>
      </xdr:spPr>
    </xdr:pic>
    <xdr:clientData/>
  </xdr:oneCellAnchor>
  <xdr:oneCellAnchor>
    <xdr:from>
      <xdr:col>10</xdr:col>
      <xdr:colOff>506186</xdr:colOff>
      <xdr:row>52</xdr:row>
      <xdr:rowOff>70757</xdr:rowOff>
    </xdr:from>
    <xdr:ext cx="2086990" cy="489856"/>
    <xdr:pic>
      <xdr:nvPicPr>
        <xdr:cNvPr id="24" name="Imagem 23">
          <a:extLst>
            <a:ext uri="{FF2B5EF4-FFF2-40B4-BE49-F238E27FC236}">
              <a16:creationId xmlns:a16="http://schemas.microsoft.com/office/drawing/2014/main" id="{E3A69E37-41BE-4A8C-8740-FAE79EAC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06793" y="10221686"/>
          <a:ext cx="2086990" cy="489856"/>
        </a:xfrm>
        <a:prstGeom prst="rect">
          <a:avLst/>
        </a:prstGeom>
      </xdr:spPr>
    </xdr:pic>
    <xdr:clientData/>
  </xdr:oneCellAnchor>
  <xdr:oneCellAnchor>
    <xdr:from>
      <xdr:col>3</xdr:col>
      <xdr:colOff>1162051</xdr:colOff>
      <xdr:row>52</xdr:row>
      <xdr:rowOff>87085</xdr:rowOff>
    </xdr:from>
    <xdr:ext cx="2086990" cy="489856"/>
    <xdr:pic>
      <xdr:nvPicPr>
        <xdr:cNvPr id="25" name="Imagem 24">
          <a:extLst>
            <a:ext uri="{FF2B5EF4-FFF2-40B4-BE49-F238E27FC236}">
              <a16:creationId xmlns:a16="http://schemas.microsoft.com/office/drawing/2014/main" id="{0B188063-DD9B-484C-BD40-8E8A15D7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1" y="9993085"/>
          <a:ext cx="2086990" cy="489856"/>
        </a:xfrm>
        <a:prstGeom prst="rect">
          <a:avLst/>
        </a:prstGeom>
      </xdr:spPr>
    </xdr:pic>
    <xdr:clientData/>
  </xdr:oneCellAnchor>
  <xdr:oneCellAnchor>
    <xdr:from>
      <xdr:col>3</xdr:col>
      <xdr:colOff>1110343</xdr:colOff>
      <xdr:row>101</xdr:row>
      <xdr:rowOff>21771</xdr:rowOff>
    </xdr:from>
    <xdr:ext cx="2086990" cy="489856"/>
    <xdr:pic>
      <xdr:nvPicPr>
        <xdr:cNvPr id="26" name="Imagem 25">
          <a:extLst>
            <a:ext uri="{FF2B5EF4-FFF2-40B4-BE49-F238E27FC236}">
              <a16:creationId xmlns:a16="http://schemas.microsoft.com/office/drawing/2014/main" id="{79E4BD72-12F3-45C7-A671-BF35C46ED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4318" y="19262271"/>
          <a:ext cx="2086990" cy="489856"/>
        </a:xfrm>
        <a:prstGeom prst="rect">
          <a:avLst/>
        </a:prstGeom>
      </xdr:spPr>
    </xdr:pic>
    <xdr:clientData/>
  </xdr:oneCellAnchor>
  <xdr:oneCellAnchor>
    <xdr:from>
      <xdr:col>3</xdr:col>
      <xdr:colOff>1129393</xdr:colOff>
      <xdr:row>149</xdr:row>
      <xdr:rowOff>190501</xdr:rowOff>
    </xdr:from>
    <xdr:ext cx="2086990" cy="489856"/>
    <xdr:pic>
      <xdr:nvPicPr>
        <xdr:cNvPr id="27" name="Imagem 26">
          <a:extLst>
            <a:ext uri="{FF2B5EF4-FFF2-40B4-BE49-F238E27FC236}">
              <a16:creationId xmlns:a16="http://schemas.microsoft.com/office/drawing/2014/main" id="{51FCA62E-1732-42DE-8D2B-38E7CBC51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4318" y="28384501"/>
          <a:ext cx="2086990" cy="489856"/>
        </a:xfrm>
        <a:prstGeom prst="rect">
          <a:avLst/>
        </a:prstGeom>
      </xdr:spPr>
    </xdr:pic>
    <xdr:clientData/>
  </xdr:oneCellAnchor>
  <xdr:twoCellAnchor>
    <xdr:from>
      <xdr:col>1</xdr:col>
      <xdr:colOff>1023258</xdr:colOff>
      <xdr:row>45</xdr:row>
      <xdr:rowOff>84363</xdr:rowOff>
    </xdr:from>
    <xdr:to>
      <xdr:col>6</xdr:col>
      <xdr:colOff>2721</xdr:colOff>
      <xdr:row>48</xdr:row>
      <xdr:rowOff>256453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E8F1620-F29B-40B2-8C53-D6D9E4F49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771651" y="877932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1023258</xdr:colOff>
      <xdr:row>94</xdr:row>
      <xdr:rowOff>84363</xdr:rowOff>
    </xdr:from>
    <xdr:to>
      <xdr:col>6</xdr:col>
      <xdr:colOff>2721</xdr:colOff>
      <xdr:row>97</xdr:row>
      <xdr:rowOff>256453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E677B8D-6556-4642-A765-0BC6A725E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771651" y="877932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1023258</xdr:colOff>
      <xdr:row>143</xdr:row>
      <xdr:rowOff>84363</xdr:rowOff>
    </xdr:from>
    <xdr:to>
      <xdr:col>6</xdr:col>
      <xdr:colOff>2721</xdr:colOff>
      <xdr:row>146</xdr:row>
      <xdr:rowOff>256453</xdr:rowOff>
    </xdr:to>
    <xdr:pic>
      <xdr:nvPicPr>
        <xdr:cNvPr id="28" name="Imagem 2">
          <a:extLst>
            <a:ext uri="{FF2B5EF4-FFF2-40B4-BE49-F238E27FC236}">
              <a16:creationId xmlns:a16="http://schemas.microsoft.com/office/drawing/2014/main" id="{1D10EBD1-49B3-4DA8-B87B-D85519B1F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771651" y="877932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1023258</xdr:colOff>
      <xdr:row>193</xdr:row>
      <xdr:rowOff>84363</xdr:rowOff>
    </xdr:from>
    <xdr:to>
      <xdr:col>6</xdr:col>
      <xdr:colOff>2721</xdr:colOff>
      <xdr:row>196</xdr:row>
      <xdr:rowOff>256453</xdr:rowOff>
    </xdr:to>
    <xdr:pic>
      <xdr:nvPicPr>
        <xdr:cNvPr id="29" name="Imagem 2">
          <a:extLst>
            <a:ext uri="{FF2B5EF4-FFF2-40B4-BE49-F238E27FC236}">
              <a16:creationId xmlns:a16="http://schemas.microsoft.com/office/drawing/2014/main" id="{EA7814E0-E4AC-49CB-8CCE-3638B8C49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771651" y="877932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8</xdr:col>
      <xdr:colOff>272143</xdr:colOff>
      <xdr:row>45</xdr:row>
      <xdr:rowOff>81643</xdr:rowOff>
    </xdr:from>
    <xdr:to>
      <xdr:col>13</xdr:col>
      <xdr:colOff>-1</xdr:colOff>
      <xdr:row>48</xdr:row>
      <xdr:rowOff>253733</xdr:rowOff>
    </xdr:to>
    <xdr:pic>
      <xdr:nvPicPr>
        <xdr:cNvPr id="31" name="Imagem 2">
          <a:extLst>
            <a:ext uri="{FF2B5EF4-FFF2-40B4-BE49-F238E27FC236}">
              <a16:creationId xmlns:a16="http://schemas.microsoft.com/office/drawing/2014/main" id="{7F1962D0-BFB7-4BCB-A4A4-AAD2AD7B7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8259536" y="877660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8</xdr:col>
      <xdr:colOff>272143</xdr:colOff>
      <xdr:row>94</xdr:row>
      <xdr:rowOff>81643</xdr:rowOff>
    </xdr:from>
    <xdr:to>
      <xdr:col>13</xdr:col>
      <xdr:colOff>-1</xdr:colOff>
      <xdr:row>97</xdr:row>
      <xdr:rowOff>253733</xdr:rowOff>
    </xdr:to>
    <xdr:pic>
      <xdr:nvPicPr>
        <xdr:cNvPr id="32" name="Imagem 2">
          <a:extLst>
            <a:ext uri="{FF2B5EF4-FFF2-40B4-BE49-F238E27FC236}">
              <a16:creationId xmlns:a16="http://schemas.microsoft.com/office/drawing/2014/main" id="{6D78A4DD-06ED-408B-BFB2-AB66F6FEA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8259536" y="877660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517072</xdr:colOff>
      <xdr:row>45</xdr:row>
      <xdr:rowOff>81643</xdr:rowOff>
    </xdr:from>
    <xdr:to>
      <xdr:col>21</xdr:col>
      <xdr:colOff>0</xdr:colOff>
      <xdr:row>48</xdr:row>
      <xdr:rowOff>253733</xdr:rowOff>
    </xdr:to>
    <xdr:pic>
      <xdr:nvPicPr>
        <xdr:cNvPr id="33" name="Imagem 2">
          <a:extLst>
            <a:ext uri="{FF2B5EF4-FFF2-40B4-BE49-F238E27FC236}">
              <a16:creationId xmlns:a16="http://schemas.microsoft.com/office/drawing/2014/main" id="{16DBCBDC-C8BD-4FB5-B242-66C3C9661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4777358" y="877660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517072</xdr:colOff>
      <xdr:row>94</xdr:row>
      <xdr:rowOff>81643</xdr:rowOff>
    </xdr:from>
    <xdr:to>
      <xdr:col>21</xdr:col>
      <xdr:colOff>0</xdr:colOff>
      <xdr:row>97</xdr:row>
      <xdr:rowOff>253733</xdr:rowOff>
    </xdr:to>
    <xdr:pic>
      <xdr:nvPicPr>
        <xdr:cNvPr id="34" name="Imagem 2">
          <a:extLst>
            <a:ext uri="{FF2B5EF4-FFF2-40B4-BE49-F238E27FC236}">
              <a16:creationId xmlns:a16="http://schemas.microsoft.com/office/drawing/2014/main" id="{3D299A1C-547E-4695-A629-796F4F5A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0800000" flipH="1" flipV="1">
          <a:off x="14777358" y="8776607"/>
          <a:ext cx="4762499" cy="78441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6C2BA7-0A7D-4770-84E4-A57555E6B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0024" y="672353"/>
          <a:ext cx="2164869" cy="52667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B8973717-6F0B-42CB-A6EF-FF402F12D9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62264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70115804-2A3E-47D5-BCD2-624BD8DB5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F347B217-7673-421D-A319-7F5A60209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41576" y="12315265"/>
          <a:ext cx="3778623" cy="78441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43EBAF-2AB4-473B-A4AF-F4AC749FF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A229DFE4-7759-4579-AB1A-0B79CDF36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094AA779-EB77-4BC1-8082-CCB1257B5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2FD971DB-44D1-413D-801F-D99C6AFA5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C9CB18-0C25-4A7F-918C-C2C62341F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A1F57E75-5B30-4090-B546-DF91CBF04F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831B16B5-5348-42D5-80CA-FD82B39D6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826C4359-4768-4F7F-B70C-A2C9209D7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A3035E-6A29-4103-9259-6BC1BAE07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755FD996-C389-4BCB-8436-0A140325E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F6B7C69F-6525-4703-9923-DC1F0C8CB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6109E1F2-F8D6-41F8-8F11-FD8132861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EA3B4A-A1F8-418E-B666-7662B35A0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59ADCBBD-8E93-42B9-B7E0-8339C3768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5E21443A-2875-4721-A1C1-28710966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29B4B652-1458-4CE8-8F91-4600E305B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197C8F-0807-4ECD-BE1D-8B8F46C9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75A17EBF-FFDA-4519-AC20-9CD0FDD207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B7729864-53CC-4635-B667-01E0C54B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9D0C5DED-E912-491C-8510-E3F0D0B09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F910E-3876-4F57-9E29-54341CB36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416398A3-215B-4DBD-9138-4A3DF9BB84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11F22116-98C9-4609-9841-C3E8CFBDF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99A736D4-F7F1-4B06-B7C0-9B5A12D5E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F22F98-7DDA-4516-9336-2543892E3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F3738420-8C7B-418D-99C4-B93CA85FC7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A6D033BB-069E-4146-8ED5-891113D33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FE786228-C002-4731-BD0A-A16310DF0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356AAF-6DF0-4344-BCB0-8A92C0EE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38855BDB-AF91-46CD-88FC-7C277CE91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9A7D37A7-7FA9-45DC-975B-F0B8AD741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6895CA3F-0FF0-4EBE-97DC-E6484937F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36F5C2-BD1E-4D21-B3E1-4F07F7F75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1A3C6499-9BBC-4636-A786-2192C6966E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3EC1E9FE-0850-4E5F-A63B-A49FC0AD1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E03EE6B6-6538-4ED6-B6B4-39536635A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8EEA53-781E-492D-B5EA-D91A6C2FA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8D77B546-C6AC-4510-9C60-8A9E6FBB1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FF7E6D5A-E224-4961-9E88-578386B92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29D266C0-0330-4072-93E4-41E7EFAFA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1072965</xdr:colOff>
      <xdr:row>3</xdr:row>
      <xdr:rowOff>67235</xdr:rowOff>
    </xdr:from>
    <xdr:to>
      <xdr:col>10</xdr:col>
      <xdr:colOff>257069</xdr:colOff>
      <xdr:row>5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F0B0B4-04F6-474B-8CCF-AC2EA36B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1790" y="667310"/>
          <a:ext cx="2174954" cy="5233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8</xdr:col>
      <xdr:colOff>44823</xdr:colOff>
      <xdr:row>0</xdr:row>
      <xdr:rowOff>67236</xdr:rowOff>
    </xdr:from>
    <xdr:ext cx="1266269" cy="572264"/>
    <xdr:pic>
      <xdr:nvPicPr>
        <xdr:cNvPr id="3" name="Imagem 2">
          <a:extLst>
            <a:ext uri="{FF2B5EF4-FFF2-40B4-BE49-F238E27FC236}">
              <a16:creationId xmlns:a16="http://schemas.microsoft.com/office/drawing/2014/main" id="{97CC1523-DE58-47DA-8FAC-05AA32939B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6548" t="18466" r="6544" b="33317"/>
        <a:stretch>
          <a:fillRect/>
        </a:stretch>
      </xdr:blipFill>
      <xdr:spPr>
        <a:xfrm>
          <a:off x="7379073" y="67236"/>
          <a:ext cx="1266269" cy="57226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11206</xdr:colOff>
      <xdr:row>0</xdr:row>
      <xdr:rowOff>11206</xdr:rowOff>
    </xdr:from>
    <xdr:ext cx="6656298" cy="930088"/>
    <xdr:pic>
      <xdr:nvPicPr>
        <xdr:cNvPr id="4" name="Imagem 3">
          <a:extLst>
            <a:ext uri="{FF2B5EF4-FFF2-40B4-BE49-F238E27FC236}">
              <a16:creationId xmlns:a16="http://schemas.microsoft.com/office/drawing/2014/main" id="{38513220-9C57-42F8-8A94-BCD7259DC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206" y="11206"/>
          <a:ext cx="6656298" cy="930088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5</xdr:col>
      <xdr:colOff>17929</xdr:colOff>
      <xdr:row>61</xdr:row>
      <xdr:rowOff>11206</xdr:rowOff>
    </xdr:from>
    <xdr:to>
      <xdr:col>11</xdr:col>
      <xdr:colOff>8964</xdr:colOff>
      <xdr:row>64</xdr:row>
      <xdr:rowOff>212912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BAED4886-E3C1-4DFF-9B8D-66D66DBC9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0800000" flipH="1" flipV="1">
          <a:off x="5456704" y="12231781"/>
          <a:ext cx="3781985" cy="78273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4145-19F7-42A2-9C73-F8B457161E23}">
  <sheetPr>
    <outlinePr summaryBelow="0"/>
  </sheetPr>
  <dimension ref="A1:U197"/>
  <sheetViews>
    <sheetView showGridLines="0" tabSelected="1" zoomScale="75" zoomScaleNormal="75" zoomScaleSheetLayoutView="85" zoomScalePageLayoutView="70" workbookViewId="0">
      <selection activeCell="A8" sqref="A8:F8"/>
    </sheetView>
  </sheetViews>
  <sheetFormatPr defaultRowHeight="15" x14ac:dyDescent="0.25"/>
  <cols>
    <col min="1" max="1" width="11.140625" style="48" customWidth="1"/>
    <col min="2" max="5" width="18.7109375" style="48" customWidth="1"/>
    <col min="6" max="6" width="11.7109375" style="48" customWidth="1"/>
    <col min="7" max="7" width="4.5703125" style="48" customWidth="1"/>
    <col min="8" max="10" width="17.42578125" style="48" customWidth="1"/>
    <col min="11" max="11" width="19.42578125" style="48" customWidth="1"/>
    <col min="12" max="12" width="17.42578125" style="48" customWidth="1"/>
    <col min="13" max="13" width="4.140625" style="48" customWidth="1"/>
    <col min="14" max="14" width="7.42578125" style="48" customWidth="1"/>
    <col min="15" max="15" width="11.140625" style="48" customWidth="1"/>
    <col min="16" max="17" width="14" style="48" customWidth="1"/>
    <col min="18" max="18" width="15.140625" style="48" customWidth="1"/>
    <col min="19" max="19" width="15" style="48" customWidth="1"/>
    <col min="20" max="20" width="13.85546875" style="48" customWidth="1"/>
    <col min="21" max="21" width="6.85546875" style="48" customWidth="1"/>
    <col min="22" max="29" width="14.140625" style="48" customWidth="1"/>
    <col min="30" max="16384" width="9.140625" style="48"/>
  </cols>
  <sheetData>
    <row r="1" spans="1:21" ht="15.75" customHeight="1" x14ac:dyDescent="0.25">
      <c r="A1" s="45"/>
      <c r="B1" s="46"/>
      <c r="C1" s="46"/>
      <c r="D1" s="46"/>
      <c r="E1" s="46"/>
      <c r="F1" s="47"/>
      <c r="G1" s="45"/>
      <c r="H1" s="46"/>
      <c r="I1" s="46"/>
      <c r="J1" s="46"/>
      <c r="K1" s="46"/>
      <c r="L1" s="46"/>
      <c r="M1" s="47"/>
      <c r="N1" s="45"/>
      <c r="O1" s="46"/>
      <c r="P1" s="46"/>
      <c r="Q1" s="46"/>
      <c r="R1" s="46"/>
      <c r="S1" s="46"/>
      <c r="T1" s="46"/>
      <c r="U1" s="47"/>
    </row>
    <row r="2" spans="1:21" ht="15.75" customHeight="1" x14ac:dyDescent="0.25">
      <c r="A2" s="43"/>
      <c r="B2" s="88"/>
      <c r="C2" s="89"/>
      <c r="D2" s="89"/>
      <c r="E2" s="89"/>
      <c r="F2" s="49"/>
      <c r="G2" s="50"/>
      <c r="H2" s="89"/>
      <c r="I2" s="89"/>
      <c r="J2" s="89"/>
      <c r="K2" s="89"/>
      <c r="L2" s="89"/>
      <c r="M2" s="51"/>
      <c r="N2" s="43"/>
      <c r="O2" s="88"/>
      <c r="P2" s="88"/>
      <c r="Q2" s="88"/>
      <c r="R2" s="88"/>
      <c r="U2" s="49"/>
    </row>
    <row r="3" spans="1:21" ht="15.75" customHeight="1" x14ac:dyDescent="0.25">
      <c r="A3" s="43"/>
      <c r="B3" s="88"/>
      <c r="C3" s="89"/>
      <c r="D3" s="89"/>
      <c r="E3" s="89"/>
      <c r="F3" s="52"/>
      <c r="G3" s="50"/>
      <c r="H3" s="89"/>
      <c r="I3" s="89"/>
      <c r="J3" s="89"/>
      <c r="K3" s="135"/>
      <c r="L3" s="129"/>
      <c r="M3" s="53"/>
      <c r="N3" s="43"/>
      <c r="O3" s="88"/>
      <c r="P3" s="88"/>
      <c r="Q3" s="88"/>
      <c r="R3" s="88"/>
      <c r="U3" s="49"/>
    </row>
    <row r="4" spans="1:21" ht="15.75" customHeight="1" x14ac:dyDescent="0.25">
      <c r="A4" s="54" t="s">
        <v>102</v>
      </c>
      <c r="B4" s="90"/>
      <c r="C4" s="89"/>
      <c r="F4" s="52"/>
      <c r="G4" s="54" t="str">
        <f>A4</f>
        <v>PERÍODO DE APURAÇÃO: 2026</v>
      </c>
      <c r="H4" s="89"/>
      <c r="I4" s="89"/>
      <c r="J4" s="89"/>
      <c r="K4" s="135"/>
      <c r="L4" s="129"/>
      <c r="M4" s="53"/>
      <c r="N4" s="54" t="str">
        <f>G4</f>
        <v>PERÍODO DE APURAÇÃO: 2026</v>
      </c>
      <c r="O4" s="90"/>
      <c r="P4" s="90"/>
      <c r="Q4" s="90"/>
      <c r="R4" s="90"/>
      <c r="S4" s="90"/>
      <c r="U4" s="49"/>
    </row>
    <row r="5" spans="1:21" ht="15.75" customHeight="1" x14ac:dyDescent="0.25">
      <c r="A5" s="54" t="s">
        <v>53</v>
      </c>
      <c r="B5" s="90"/>
      <c r="C5" s="89"/>
      <c r="F5" s="49"/>
      <c r="G5" s="54" t="str">
        <f>A5</f>
        <v xml:space="preserve">INVESTIDOR: </v>
      </c>
      <c r="H5" s="89"/>
      <c r="I5" s="89"/>
      <c r="J5" s="89"/>
      <c r="K5" s="89"/>
      <c r="L5" s="89"/>
      <c r="M5" s="51"/>
      <c r="N5" s="54" t="str">
        <f>G5</f>
        <v xml:space="preserve">INVESTIDOR: </v>
      </c>
      <c r="O5" s="90"/>
      <c r="P5" s="90"/>
      <c r="Q5" s="90"/>
      <c r="R5" s="90"/>
      <c r="S5" s="90"/>
      <c r="T5" s="90"/>
      <c r="U5" s="55"/>
    </row>
    <row r="6" spans="1:21" ht="15.75" customHeight="1" x14ac:dyDescent="0.25">
      <c r="A6" s="54" t="s">
        <v>54</v>
      </c>
      <c r="B6" s="90"/>
      <c r="C6" s="89"/>
      <c r="D6" s="89"/>
      <c r="E6" s="89"/>
      <c r="F6" s="51"/>
      <c r="G6" s="54" t="str">
        <f>A6</f>
        <v xml:space="preserve">CPF: </v>
      </c>
      <c r="H6" s="89"/>
      <c r="I6" s="89"/>
      <c r="J6" s="89"/>
      <c r="K6" s="89"/>
      <c r="L6" s="89"/>
      <c r="M6" s="51"/>
      <c r="N6" s="54" t="str">
        <f>G6</f>
        <v xml:space="preserve">CPF: </v>
      </c>
      <c r="O6" s="90"/>
      <c r="P6" s="90"/>
      <c r="Q6" s="90"/>
      <c r="R6" s="90"/>
      <c r="S6" s="90"/>
      <c r="T6" s="90"/>
      <c r="U6" s="55"/>
    </row>
    <row r="7" spans="1:21" ht="15.75" customHeight="1" thickBot="1" x14ac:dyDescent="0.3">
      <c r="A7" s="56"/>
      <c r="F7" s="49"/>
      <c r="G7" s="57"/>
      <c r="M7" s="49"/>
      <c r="N7" s="57"/>
      <c r="U7" s="49"/>
    </row>
    <row r="8" spans="1:21" ht="15.75" customHeight="1" thickBot="1" x14ac:dyDescent="0.3">
      <c r="A8" s="145" t="s">
        <v>101</v>
      </c>
      <c r="B8" s="146"/>
      <c r="C8" s="146"/>
      <c r="D8" s="146"/>
      <c r="E8" s="146"/>
      <c r="F8" s="147"/>
      <c r="G8" s="148" t="s">
        <v>104</v>
      </c>
      <c r="H8" s="149"/>
      <c r="I8" s="149"/>
      <c r="J8" s="149"/>
      <c r="K8" s="149"/>
      <c r="L8" s="149"/>
      <c r="M8" s="150"/>
      <c r="N8" s="148" t="s">
        <v>104</v>
      </c>
      <c r="O8" s="149"/>
      <c r="P8" s="149"/>
      <c r="Q8" s="149"/>
      <c r="R8" s="149"/>
      <c r="S8" s="149"/>
      <c r="T8" s="149"/>
      <c r="U8" s="150"/>
    </row>
    <row r="9" spans="1:21" ht="15.75" customHeight="1" x14ac:dyDescent="0.25">
      <c r="A9" s="57"/>
      <c r="F9" s="49"/>
      <c r="G9" s="57"/>
      <c r="M9" s="49"/>
      <c r="N9" s="57"/>
      <c r="U9" s="49"/>
    </row>
    <row r="10" spans="1:21" ht="15" customHeight="1" x14ac:dyDescent="0.25">
      <c r="A10" s="57"/>
      <c r="B10" s="139" t="s">
        <v>100</v>
      </c>
      <c r="C10" s="140"/>
      <c r="D10" s="140"/>
      <c r="E10" s="141"/>
      <c r="F10" s="49"/>
      <c r="G10" s="57"/>
      <c r="H10" s="139" t="s">
        <v>99</v>
      </c>
      <c r="I10" s="140"/>
      <c r="J10" s="140"/>
      <c r="K10" s="140"/>
      <c r="L10" s="141"/>
      <c r="M10" s="49"/>
      <c r="N10" s="57"/>
      <c r="P10" s="139" t="s">
        <v>98</v>
      </c>
      <c r="Q10" s="140"/>
      <c r="R10" s="140"/>
      <c r="S10" s="141"/>
      <c r="U10" s="49"/>
    </row>
    <row r="11" spans="1:21" ht="15" customHeight="1" x14ac:dyDescent="0.25">
      <c r="A11" s="57"/>
      <c r="B11" s="58" t="s">
        <v>75</v>
      </c>
      <c r="C11" s="59" t="s">
        <v>81</v>
      </c>
      <c r="D11" s="59" t="s">
        <v>80</v>
      </c>
      <c r="E11" s="59" t="s">
        <v>79</v>
      </c>
      <c r="F11" s="49"/>
      <c r="G11" s="57"/>
      <c r="H11" s="60" t="s">
        <v>97</v>
      </c>
      <c r="I11" s="60" t="s">
        <v>87</v>
      </c>
      <c r="J11" s="61" t="s">
        <v>96</v>
      </c>
      <c r="K11" s="60" t="s">
        <v>95</v>
      </c>
      <c r="L11" s="60" t="s">
        <v>94</v>
      </c>
      <c r="M11" s="49"/>
      <c r="N11" s="57"/>
      <c r="P11" s="60" t="s">
        <v>93</v>
      </c>
      <c r="Q11" s="60" t="s">
        <v>92</v>
      </c>
      <c r="R11" s="60" t="s">
        <v>91</v>
      </c>
      <c r="S11" s="60" t="s">
        <v>86</v>
      </c>
      <c r="U11" s="49"/>
    </row>
    <row r="12" spans="1:21" ht="15" customHeight="1" x14ac:dyDescent="0.25">
      <c r="A12" s="57"/>
      <c r="B12" s="153" t="s">
        <v>78</v>
      </c>
      <c r="C12" s="140"/>
      <c r="D12" s="141"/>
      <c r="E12" s="62">
        <v>0</v>
      </c>
      <c r="F12" s="49"/>
      <c r="G12" s="57"/>
      <c r="H12" s="63"/>
      <c r="I12" s="63"/>
      <c r="J12" s="64"/>
      <c r="K12" s="65"/>
      <c r="L12" s="66"/>
      <c r="M12" s="49"/>
      <c r="N12" s="57"/>
      <c r="P12" s="67"/>
      <c r="Q12" s="67"/>
      <c r="R12" s="67"/>
      <c r="S12" s="67"/>
      <c r="U12" s="49"/>
    </row>
    <row r="13" spans="1:21" ht="15" customHeight="1" x14ac:dyDescent="0.25">
      <c r="A13" s="57"/>
      <c r="B13" s="68">
        <v>46023</v>
      </c>
      <c r="C13" s="69">
        <f>IFERROR(MIN(0,'01.26'!$C$15),0)</f>
        <v>0</v>
      </c>
      <c r="D13" s="70">
        <f>IFERROR(MAX(0,'01.26'!$C$15),0)</f>
        <v>0</v>
      </c>
      <c r="E13" s="69">
        <f t="shared" ref="E13:E24" si="0">E12+C13+D13</f>
        <v>0</v>
      </c>
      <c r="F13" s="49"/>
      <c r="G13" s="57"/>
      <c r="H13" s="63"/>
      <c r="I13" s="63"/>
      <c r="J13" s="64"/>
      <c r="K13" s="65"/>
      <c r="L13" s="66"/>
      <c r="M13" s="49"/>
      <c r="N13" s="57"/>
      <c r="P13" s="67"/>
      <c r="Q13" s="67"/>
      <c r="R13" s="67"/>
      <c r="S13" s="67"/>
      <c r="U13" s="49"/>
    </row>
    <row r="14" spans="1:21" ht="15" customHeight="1" x14ac:dyDescent="0.25">
      <c r="A14" s="57"/>
      <c r="B14" s="68">
        <v>46054</v>
      </c>
      <c r="C14" s="69">
        <f>IFERROR(MIN(0,'02.26'!$C$15),0)</f>
        <v>0</v>
      </c>
      <c r="D14" s="70">
        <f>IFERROR(MAX(0,'02.26'!$C$15),0)</f>
        <v>0</v>
      </c>
      <c r="E14" s="69">
        <f t="shared" si="0"/>
        <v>0</v>
      </c>
      <c r="F14" s="49"/>
      <c r="G14" s="57"/>
      <c r="H14" s="63"/>
      <c r="I14" s="63"/>
      <c r="J14" s="64"/>
      <c r="K14" s="65"/>
      <c r="L14" s="66"/>
      <c r="M14" s="49"/>
      <c r="N14" s="57"/>
      <c r="P14" s="67"/>
      <c r="Q14" s="67"/>
      <c r="R14" s="67"/>
      <c r="S14" s="67"/>
      <c r="U14" s="49"/>
    </row>
    <row r="15" spans="1:21" ht="15" customHeight="1" x14ac:dyDescent="0.25">
      <c r="A15" s="57"/>
      <c r="B15" s="68">
        <v>46082</v>
      </c>
      <c r="C15" s="69">
        <f>IFERROR(MIN(0,'03.26'!$C$15),0)</f>
        <v>0</v>
      </c>
      <c r="D15" s="70">
        <f>IFERROR(MAX(0,'03.26'!$C$15),0)</f>
        <v>0</v>
      </c>
      <c r="E15" s="69">
        <f t="shared" si="0"/>
        <v>0</v>
      </c>
      <c r="F15" s="49"/>
      <c r="G15" s="57"/>
      <c r="H15" s="63"/>
      <c r="I15" s="63"/>
      <c r="J15" s="64"/>
      <c r="K15" s="65"/>
      <c r="L15" s="66"/>
      <c r="M15" s="49"/>
      <c r="N15" s="57"/>
      <c r="U15" s="49"/>
    </row>
    <row r="16" spans="1:21" ht="15" customHeight="1" x14ac:dyDescent="0.25">
      <c r="A16" s="57"/>
      <c r="B16" s="68">
        <v>46113</v>
      </c>
      <c r="C16" s="69">
        <f>IFERROR(MIN(0,'04.26'!$C$15),0)</f>
        <v>0</v>
      </c>
      <c r="D16" s="70">
        <f>IFERROR(MAX(0,'04.26'!$C$15),0)</f>
        <v>0</v>
      </c>
      <c r="E16" s="69">
        <f t="shared" si="0"/>
        <v>0</v>
      </c>
      <c r="F16" s="49"/>
      <c r="G16" s="57"/>
      <c r="H16" s="63"/>
      <c r="I16" s="63"/>
      <c r="J16" s="64"/>
      <c r="K16" s="65"/>
      <c r="L16" s="66"/>
      <c r="M16" s="49"/>
      <c r="N16" s="57"/>
      <c r="U16" s="49"/>
    </row>
    <row r="17" spans="1:21" ht="15" customHeight="1" x14ac:dyDescent="0.25">
      <c r="A17" s="57"/>
      <c r="B17" s="68">
        <v>46143</v>
      </c>
      <c r="C17" s="69">
        <f>IFERROR(MIN(0,'05.26'!$C$15),0)</f>
        <v>0</v>
      </c>
      <c r="D17" s="70">
        <f>IFERROR(MAX(0,'05.26'!$C$15),0)</f>
        <v>0</v>
      </c>
      <c r="E17" s="69">
        <f t="shared" si="0"/>
        <v>0</v>
      </c>
      <c r="F17" s="49"/>
      <c r="G17" s="57"/>
      <c r="H17" s="63"/>
      <c r="I17" s="63"/>
      <c r="J17" s="64"/>
      <c r="K17" s="65"/>
      <c r="L17" s="66"/>
      <c r="M17" s="49"/>
      <c r="N17" s="57"/>
      <c r="U17" s="49"/>
    </row>
    <row r="18" spans="1:21" ht="15" customHeight="1" x14ac:dyDescent="0.25">
      <c r="A18" s="57"/>
      <c r="B18" s="68">
        <v>46174</v>
      </c>
      <c r="C18" s="69">
        <f>IFERROR(MIN(0,'06.26'!$C$15),0)</f>
        <v>0</v>
      </c>
      <c r="D18" s="70">
        <f>IFERROR(MAX(0,'06.26'!$C$15),0)</f>
        <v>0</v>
      </c>
      <c r="E18" s="69">
        <f t="shared" si="0"/>
        <v>0</v>
      </c>
      <c r="F18" s="49"/>
      <c r="G18" s="57"/>
      <c r="H18" s="63"/>
      <c r="I18" s="63"/>
      <c r="J18" s="64"/>
      <c r="K18" s="65"/>
      <c r="L18" s="66"/>
      <c r="M18" s="49"/>
      <c r="N18" s="57"/>
      <c r="U18" s="49"/>
    </row>
    <row r="19" spans="1:21" ht="15" customHeight="1" x14ac:dyDescent="0.25">
      <c r="A19" s="57"/>
      <c r="B19" s="68">
        <v>46204</v>
      </c>
      <c r="C19" s="69">
        <f>IFERROR(MIN(0,'07.26'!$C$15),0)</f>
        <v>0</v>
      </c>
      <c r="D19" s="70">
        <f>IFERROR(MAX(0,'07.26'!$C$15),0)</f>
        <v>0</v>
      </c>
      <c r="E19" s="69">
        <f t="shared" si="0"/>
        <v>0</v>
      </c>
      <c r="F19" s="49"/>
      <c r="G19" s="57"/>
      <c r="H19" s="63"/>
      <c r="I19" s="63"/>
      <c r="J19" s="64"/>
      <c r="K19" s="65"/>
      <c r="L19" s="66"/>
      <c r="M19" s="49"/>
      <c r="N19" s="57"/>
      <c r="U19" s="49"/>
    </row>
    <row r="20" spans="1:21" ht="15" customHeight="1" x14ac:dyDescent="0.25">
      <c r="A20" s="57"/>
      <c r="B20" s="68">
        <v>46235</v>
      </c>
      <c r="C20" s="69">
        <f>IFERROR(MIN(0,'08.26'!$C$15),0)</f>
        <v>0</v>
      </c>
      <c r="D20" s="70">
        <f>IFERROR(MAX(0,'08.26'!$C$15),0)</f>
        <v>0</v>
      </c>
      <c r="E20" s="69">
        <f t="shared" si="0"/>
        <v>0</v>
      </c>
      <c r="F20" s="49"/>
      <c r="G20" s="57"/>
      <c r="H20" s="63"/>
      <c r="I20" s="63"/>
      <c r="J20" s="64"/>
      <c r="K20" s="65"/>
      <c r="L20" s="66"/>
      <c r="M20" s="49"/>
      <c r="N20" s="57"/>
      <c r="U20" s="49"/>
    </row>
    <row r="21" spans="1:21" ht="15" customHeight="1" x14ac:dyDescent="0.25">
      <c r="A21" s="57"/>
      <c r="B21" s="68">
        <v>46266</v>
      </c>
      <c r="C21" s="69">
        <f>IFERROR(MIN(0,'09.26'!$C$15),0)</f>
        <v>0</v>
      </c>
      <c r="D21" s="70">
        <f>IFERROR(MAX(0,'09.26'!$C$15),0)</f>
        <v>0</v>
      </c>
      <c r="E21" s="69">
        <f t="shared" si="0"/>
        <v>0</v>
      </c>
      <c r="F21" s="49"/>
      <c r="G21" s="57"/>
      <c r="H21" s="63"/>
      <c r="I21" s="63"/>
      <c r="J21" s="64"/>
      <c r="K21" s="65"/>
      <c r="L21" s="66"/>
      <c r="M21" s="49"/>
      <c r="N21" s="57"/>
      <c r="U21" s="49"/>
    </row>
    <row r="22" spans="1:21" ht="15" customHeight="1" x14ac:dyDescent="0.25">
      <c r="A22" s="57"/>
      <c r="B22" s="68">
        <v>46296</v>
      </c>
      <c r="C22" s="69">
        <f>IFERROR(MIN(0,'10.26'!$C$15),0)</f>
        <v>0</v>
      </c>
      <c r="D22" s="70">
        <f>IFERROR(MAX(0,'10.26'!$C$15),0)</f>
        <v>0</v>
      </c>
      <c r="E22" s="69">
        <f t="shared" si="0"/>
        <v>0</v>
      </c>
      <c r="F22" s="49"/>
      <c r="G22" s="71"/>
      <c r="H22" s="63"/>
      <c r="I22" s="63"/>
      <c r="J22" s="64"/>
      <c r="K22" s="65"/>
      <c r="L22" s="66"/>
      <c r="M22" s="49"/>
      <c r="N22" s="57"/>
      <c r="U22" s="49"/>
    </row>
    <row r="23" spans="1:21" ht="15" customHeight="1" x14ac:dyDescent="0.25">
      <c r="A23" s="57"/>
      <c r="B23" s="68">
        <v>46327</v>
      </c>
      <c r="C23" s="69">
        <f>IFERROR(MIN(0,'11.26'!$C$15),0)</f>
        <v>0</v>
      </c>
      <c r="D23" s="70">
        <f>IFERROR(MAX(0,'11.26'!$C$15),0)</f>
        <v>0</v>
      </c>
      <c r="E23" s="69">
        <f t="shared" si="0"/>
        <v>0</v>
      </c>
      <c r="F23" s="49"/>
      <c r="G23" s="71"/>
      <c r="H23" s="63"/>
      <c r="I23" s="63"/>
      <c r="J23" s="64"/>
      <c r="K23" s="65"/>
      <c r="L23" s="66"/>
      <c r="M23" s="49"/>
      <c r="N23" s="57"/>
      <c r="U23" s="49"/>
    </row>
    <row r="24" spans="1:21" ht="15" customHeight="1" x14ac:dyDescent="0.25">
      <c r="A24" s="57"/>
      <c r="B24" s="68">
        <v>46357</v>
      </c>
      <c r="C24" s="69">
        <f>IFERROR(MIN(0,'12.26'!$C$15),0)</f>
        <v>0</v>
      </c>
      <c r="D24" s="70">
        <f>IFERROR(MAX(0,'12.26'!$C$15),0)</f>
        <v>0</v>
      </c>
      <c r="E24" s="69">
        <f t="shared" si="0"/>
        <v>0</v>
      </c>
      <c r="F24" s="49"/>
      <c r="G24" s="71"/>
      <c r="H24" s="63"/>
      <c r="I24" s="63"/>
      <c r="J24" s="64"/>
      <c r="K24" s="65"/>
      <c r="L24" s="66"/>
      <c r="M24" s="49"/>
      <c r="N24" s="57"/>
      <c r="U24" s="49"/>
    </row>
    <row r="25" spans="1:21" ht="15" customHeight="1" x14ac:dyDescent="0.25">
      <c r="A25" s="57"/>
      <c r="B25" s="95"/>
      <c r="C25" s="96"/>
      <c r="D25" s="97"/>
      <c r="E25" s="96"/>
      <c r="F25" s="49"/>
      <c r="G25" s="71"/>
      <c r="H25" s="63"/>
      <c r="I25" s="63"/>
      <c r="J25" s="64"/>
      <c r="K25" s="65"/>
      <c r="L25" s="66"/>
      <c r="M25" s="49"/>
      <c r="N25" s="57"/>
      <c r="U25" s="49"/>
    </row>
    <row r="26" spans="1:21" ht="15" customHeight="1" x14ac:dyDescent="0.25">
      <c r="A26" s="57"/>
      <c r="F26" s="49"/>
      <c r="G26" s="71"/>
      <c r="H26" s="63"/>
      <c r="I26" s="63"/>
      <c r="J26" s="64"/>
      <c r="K26" s="65"/>
      <c r="L26" s="66"/>
      <c r="M26" s="49"/>
      <c r="N26" s="57"/>
      <c r="U26" s="49"/>
    </row>
    <row r="27" spans="1:21" ht="15" customHeight="1" x14ac:dyDescent="0.25">
      <c r="A27" s="57"/>
      <c r="F27" s="49"/>
      <c r="G27" s="71"/>
      <c r="H27" s="63"/>
      <c r="I27" s="63"/>
      <c r="J27" s="64"/>
      <c r="K27" s="65"/>
      <c r="L27" s="66"/>
      <c r="M27" s="49"/>
      <c r="N27" s="57"/>
      <c r="U27" s="49"/>
    </row>
    <row r="28" spans="1:21" ht="15" customHeight="1" x14ac:dyDescent="0.25">
      <c r="A28" s="57"/>
      <c r="F28" s="49"/>
      <c r="G28" s="71"/>
      <c r="H28" s="63"/>
      <c r="I28" s="63"/>
      <c r="J28" s="64"/>
      <c r="K28" s="65"/>
      <c r="L28" s="66"/>
      <c r="M28" s="49"/>
      <c r="N28" s="50"/>
      <c r="O28" s="89"/>
      <c r="U28" s="49"/>
    </row>
    <row r="29" spans="1:21" ht="15" customHeight="1" thickBot="1" x14ac:dyDescent="0.3">
      <c r="A29" s="57"/>
      <c r="F29" s="49"/>
      <c r="G29" s="71"/>
      <c r="H29" s="63"/>
      <c r="I29" s="63"/>
      <c r="J29" s="64"/>
      <c r="K29" s="65"/>
      <c r="L29" s="66"/>
      <c r="M29" s="51"/>
      <c r="N29" s="50"/>
      <c r="O29" s="89"/>
      <c r="U29" s="49"/>
    </row>
    <row r="30" spans="1:21" ht="15" customHeight="1" thickBot="1" x14ac:dyDescent="0.3">
      <c r="A30" s="57"/>
      <c r="B30" s="139" t="s">
        <v>90</v>
      </c>
      <c r="C30" s="139"/>
      <c r="D30" s="139"/>
      <c r="E30" s="139"/>
      <c r="F30" s="49"/>
      <c r="G30" s="71"/>
      <c r="H30" s="63"/>
      <c r="I30" s="63"/>
      <c r="J30" s="64"/>
      <c r="K30" s="65"/>
      <c r="L30" s="66"/>
      <c r="M30" s="51"/>
      <c r="N30" s="148" t="s">
        <v>104</v>
      </c>
      <c r="O30" s="149"/>
      <c r="P30" s="149"/>
      <c r="Q30" s="149"/>
      <c r="R30" s="149"/>
      <c r="S30" s="149"/>
      <c r="T30" s="149"/>
      <c r="U30" s="150"/>
    </row>
    <row r="31" spans="1:21" ht="15" customHeight="1" x14ac:dyDescent="0.25">
      <c r="A31" s="57"/>
      <c r="B31" s="58" t="s">
        <v>75</v>
      </c>
      <c r="C31" s="59" t="s">
        <v>81</v>
      </c>
      <c r="D31" s="59" t="s">
        <v>80</v>
      </c>
      <c r="E31" s="59" t="s">
        <v>79</v>
      </c>
      <c r="F31" s="49"/>
      <c r="G31" s="44"/>
      <c r="H31" s="63"/>
      <c r="I31" s="63"/>
      <c r="J31" s="64"/>
      <c r="K31" s="65"/>
      <c r="L31" s="66"/>
      <c r="M31" s="51"/>
      <c r="N31" s="50"/>
      <c r="O31" s="89"/>
      <c r="U31" s="49"/>
    </row>
    <row r="32" spans="1:21" ht="15" customHeight="1" x14ac:dyDescent="0.25">
      <c r="A32" s="57"/>
      <c r="B32" s="142" t="s">
        <v>78</v>
      </c>
      <c r="C32" s="143"/>
      <c r="D32" s="144"/>
      <c r="E32" s="62">
        <v>0</v>
      </c>
      <c r="F32" s="49"/>
      <c r="G32" s="44"/>
      <c r="H32" s="63"/>
      <c r="I32" s="63"/>
      <c r="J32" s="64"/>
      <c r="K32" s="65"/>
      <c r="L32" s="66"/>
      <c r="M32" s="51"/>
      <c r="N32" s="50"/>
      <c r="U32" s="49"/>
    </row>
    <row r="33" spans="1:21" ht="15" customHeight="1" x14ac:dyDescent="0.25">
      <c r="A33" s="57"/>
      <c r="B33" s="68">
        <v>46023</v>
      </c>
      <c r="C33" s="69">
        <f>IFERROR(MIN(0,'01.26'!$B$15),0)</f>
        <v>0</v>
      </c>
      <c r="D33" s="70">
        <f>IFERROR(MAX(0,'01.26'!$B$15),0)</f>
        <v>0</v>
      </c>
      <c r="E33" s="69">
        <f>E32+C33+D33</f>
        <v>0</v>
      </c>
      <c r="F33" s="49"/>
      <c r="G33" s="57"/>
      <c r="H33" s="63"/>
      <c r="I33" s="63"/>
      <c r="J33" s="64"/>
      <c r="K33" s="65"/>
      <c r="L33" s="66"/>
      <c r="M33" s="51"/>
      <c r="N33" s="50"/>
      <c r="O33" s="139" t="s">
        <v>107</v>
      </c>
      <c r="P33" s="140"/>
      <c r="Q33" s="140"/>
      <c r="R33" s="140"/>
      <c r="S33" s="140"/>
      <c r="T33" s="141"/>
      <c r="U33" s="49"/>
    </row>
    <row r="34" spans="1:21" ht="15" customHeight="1" x14ac:dyDescent="0.25">
      <c r="A34" s="57"/>
      <c r="B34" s="68">
        <v>46054</v>
      </c>
      <c r="C34" s="69">
        <f>IFERROR(MIN(0,'02.26'!$B$15),0)</f>
        <v>0</v>
      </c>
      <c r="D34" s="70">
        <f>IFERROR(MAX(0,'02.26'!$B$15),0)</f>
        <v>0</v>
      </c>
      <c r="E34" s="69">
        <f>E33+C34+D34</f>
        <v>0</v>
      </c>
      <c r="F34" s="49"/>
      <c r="G34" s="57"/>
      <c r="H34" s="63"/>
      <c r="I34" s="63"/>
      <c r="J34" s="64"/>
      <c r="K34" s="65"/>
      <c r="L34" s="66"/>
      <c r="M34" s="51"/>
      <c r="N34" s="50"/>
      <c r="O34" s="152" t="s">
        <v>89</v>
      </c>
      <c r="P34" s="141"/>
      <c r="Q34" s="60" t="s">
        <v>88</v>
      </c>
      <c r="R34" s="60" t="s">
        <v>87</v>
      </c>
      <c r="S34" s="60" t="s">
        <v>70</v>
      </c>
      <c r="T34" s="60" t="s">
        <v>86</v>
      </c>
      <c r="U34" s="49"/>
    </row>
    <row r="35" spans="1:21" ht="15" customHeight="1" x14ac:dyDescent="0.25">
      <c r="A35" s="57"/>
      <c r="B35" s="68">
        <v>46082</v>
      </c>
      <c r="C35" s="69">
        <f>IFERROR(MIN(0,'03.26'!$B$15),0)</f>
        <v>0</v>
      </c>
      <c r="D35" s="70">
        <f>IFERROR(MAX(0,'03.26'!$B$15),0)</f>
        <v>0</v>
      </c>
      <c r="E35" s="69">
        <f t="shared" ref="E35:E44" si="1">E34+C35+D35</f>
        <v>0</v>
      </c>
      <c r="F35" s="49"/>
      <c r="G35" s="57"/>
      <c r="H35" s="63"/>
      <c r="I35" s="63"/>
      <c r="J35" s="64"/>
      <c r="K35" s="65"/>
      <c r="L35" s="66"/>
      <c r="M35" s="51"/>
      <c r="N35" s="50"/>
      <c r="O35" s="154"/>
      <c r="P35" s="141"/>
      <c r="Q35" s="67"/>
      <c r="R35" s="67"/>
      <c r="S35" s="67"/>
      <c r="T35" s="67"/>
      <c r="U35" s="49"/>
    </row>
    <row r="36" spans="1:21" ht="15" customHeight="1" x14ac:dyDescent="0.25">
      <c r="A36" s="57"/>
      <c r="B36" s="68">
        <v>46113</v>
      </c>
      <c r="C36" s="69">
        <f>IFERROR(MIN(0,'04.26'!$B$15),0)</f>
        <v>0</v>
      </c>
      <c r="D36" s="70">
        <f>IFERROR(MAX(0,'04.26'!$B$15),0)</f>
        <v>0</v>
      </c>
      <c r="E36" s="69">
        <f t="shared" si="1"/>
        <v>0</v>
      </c>
      <c r="F36" s="49"/>
      <c r="G36" s="57"/>
      <c r="H36" s="63"/>
      <c r="I36" s="63"/>
      <c r="J36" s="64"/>
      <c r="K36" s="65"/>
      <c r="L36" s="66"/>
      <c r="M36" s="51"/>
      <c r="N36" s="50"/>
      <c r="O36" s="154"/>
      <c r="P36" s="141"/>
      <c r="Q36" s="67"/>
      <c r="R36" s="67"/>
      <c r="S36" s="67"/>
      <c r="T36" s="67"/>
      <c r="U36" s="49"/>
    </row>
    <row r="37" spans="1:21" ht="15" customHeight="1" x14ac:dyDescent="0.25">
      <c r="A37" s="57"/>
      <c r="B37" s="68">
        <v>46143</v>
      </c>
      <c r="C37" s="69">
        <f>IFERROR(MIN(0,'05.26'!$B$15),0)</f>
        <v>0</v>
      </c>
      <c r="D37" s="70">
        <f>IFERROR(MAX(0,'05.26'!$B$15),0)</f>
        <v>0</v>
      </c>
      <c r="E37" s="69">
        <f t="shared" si="1"/>
        <v>0</v>
      </c>
      <c r="F37" s="49"/>
      <c r="G37" s="57"/>
      <c r="H37" s="63"/>
      <c r="I37" s="63"/>
      <c r="J37" s="64"/>
      <c r="K37" s="65"/>
      <c r="L37" s="66"/>
      <c r="M37" s="51"/>
      <c r="N37" s="50"/>
      <c r="O37" s="154"/>
      <c r="P37" s="141"/>
      <c r="Q37" s="67"/>
      <c r="R37" s="67"/>
      <c r="S37" s="67"/>
      <c r="T37" s="67"/>
      <c r="U37" s="49"/>
    </row>
    <row r="38" spans="1:21" ht="15" customHeight="1" x14ac:dyDescent="0.25">
      <c r="A38" s="57"/>
      <c r="B38" s="68">
        <v>46174</v>
      </c>
      <c r="C38" s="69">
        <f>IFERROR(MIN(0,'06.26'!$B$15),0)</f>
        <v>0</v>
      </c>
      <c r="D38" s="70">
        <f>IFERROR(MAX(0,'06.26'!$B$15),0)</f>
        <v>0</v>
      </c>
      <c r="E38" s="69">
        <f t="shared" si="1"/>
        <v>0</v>
      </c>
      <c r="F38" s="49"/>
      <c r="G38" s="57"/>
      <c r="H38" s="63"/>
      <c r="I38" s="63"/>
      <c r="J38" s="64"/>
      <c r="K38" s="65"/>
      <c r="L38" s="66"/>
      <c r="M38" s="51"/>
      <c r="N38" s="50"/>
      <c r="O38" s="154"/>
      <c r="P38" s="141"/>
      <c r="Q38" s="67"/>
      <c r="R38" s="67"/>
      <c r="S38" s="67"/>
      <c r="T38" s="67"/>
      <c r="U38" s="49"/>
    </row>
    <row r="39" spans="1:21" ht="15" customHeight="1" x14ac:dyDescent="0.25">
      <c r="A39" s="57"/>
      <c r="B39" s="68">
        <v>46204</v>
      </c>
      <c r="C39" s="69">
        <f>IFERROR(MIN(0,'07.26'!$B$15),0)</f>
        <v>0</v>
      </c>
      <c r="D39" s="70">
        <f>IFERROR(MAX(0,'07.26'!$B$15),0)</f>
        <v>0</v>
      </c>
      <c r="E39" s="69">
        <f t="shared" si="1"/>
        <v>0</v>
      </c>
      <c r="F39" s="49"/>
      <c r="G39" s="57"/>
      <c r="H39" s="63"/>
      <c r="I39" s="63"/>
      <c r="J39" s="64"/>
      <c r="K39" s="65"/>
      <c r="L39" s="66"/>
      <c r="M39" s="51"/>
      <c r="N39" s="50"/>
      <c r="U39" s="49"/>
    </row>
    <row r="40" spans="1:21" ht="15" customHeight="1" x14ac:dyDescent="0.25">
      <c r="A40" s="57"/>
      <c r="B40" s="68">
        <v>46235</v>
      </c>
      <c r="C40" s="69">
        <f>IFERROR(MIN(0,'08.26'!$B$15),0)</f>
        <v>0</v>
      </c>
      <c r="D40" s="70">
        <f>IFERROR(MAX(0,'08.26'!$B$15),0)</f>
        <v>0</v>
      </c>
      <c r="E40" s="69">
        <f t="shared" si="1"/>
        <v>0</v>
      </c>
      <c r="F40" s="49"/>
      <c r="G40" s="57"/>
      <c r="H40" s="63"/>
      <c r="I40" s="63"/>
      <c r="J40" s="64"/>
      <c r="K40" s="65"/>
      <c r="L40" s="66"/>
      <c r="M40" s="51"/>
      <c r="N40" s="50"/>
      <c r="U40" s="49"/>
    </row>
    <row r="41" spans="1:21" ht="15" customHeight="1" x14ac:dyDescent="0.25">
      <c r="A41" s="57"/>
      <c r="B41" s="68">
        <v>46266</v>
      </c>
      <c r="C41" s="69">
        <f>IFERROR(MIN(0,'09.26'!$B$15),0)</f>
        <v>0</v>
      </c>
      <c r="D41" s="70">
        <f>IFERROR(MAX(0,'09.26'!$B$15),0)</f>
        <v>0</v>
      </c>
      <c r="E41" s="69">
        <f t="shared" si="1"/>
        <v>0</v>
      </c>
      <c r="F41" s="49"/>
      <c r="G41" s="57"/>
      <c r="H41" s="63"/>
      <c r="I41" s="63"/>
      <c r="J41" s="64"/>
      <c r="K41" s="65"/>
      <c r="L41" s="66"/>
      <c r="M41" s="49"/>
      <c r="N41" s="50"/>
      <c r="U41" s="49"/>
    </row>
    <row r="42" spans="1:21" ht="15" customHeight="1" x14ac:dyDescent="0.25">
      <c r="A42" s="57"/>
      <c r="B42" s="68">
        <v>46296</v>
      </c>
      <c r="C42" s="69">
        <f>IFERROR(MIN(0,'10.26'!$B$15),0)</f>
        <v>0</v>
      </c>
      <c r="D42" s="70">
        <f>IFERROR(MAX(0,'10.26'!$B$15),0)</f>
        <v>0</v>
      </c>
      <c r="E42" s="69">
        <f t="shared" si="1"/>
        <v>0</v>
      </c>
      <c r="F42" s="49"/>
      <c r="G42" s="57"/>
      <c r="H42" s="63"/>
      <c r="I42" s="63"/>
      <c r="J42" s="64"/>
      <c r="K42" s="65"/>
      <c r="L42" s="66"/>
      <c r="M42" s="49"/>
      <c r="N42" s="50"/>
      <c r="U42" s="49"/>
    </row>
    <row r="43" spans="1:21" ht="15" customHeight="1" x14ac:dyDescent="0.25">
      <c r="A43" s="57"/>
      <c r="B43" s="68">
        <v>46327</v>
      </c>
      <c r="C43" s="69">
        <f>IFERROR(MIN(0,'11.26'!$B$15),0)</f>
        <v>0</v>
      </c>
      <c r="D43" s="70">
        <f>IFERROR(MAX(0,'11.26'!$B$15),0)</f>
        <v>0</v>
      </c>
      <c r="E43" s="69">
        <f t="shared" si="1"/>
        <v>0</v>
      </c>
      <c r="F43" s="49"/>
      <c r="G43" s="57"/>
      <c r="H43" s="63"/>
      <c r="I43" s="63"/>
      <c r="J43" s="64"/>
      <c r="K43" s="65"/>
      <c r="L43" s="66"/>
      <c r="M43" s="49"/>
      <c r="N43" s="50"/>
      <c r="U43" s="49"/>
    </row>
    <row r="44" spans="1:21" ht="15" customHeight="1" x14ac:dyDescent="0.25">
      <c r="A44" s="57"/>
      <c r="B44" s="68">
        <v>46357</v>
      </c>
      <c r="C44" s="69">
        <f>IFERROR(MIN(0,'12.26'!$B$15),0)</f>
        <v>0</v>
      </c>
      <c r="D44" s="70">
        <f>IFERROR(MAX(0,'12.26'!$B$15),0)</f>
        <v>0</v>
      </c>
      <c r="E44" s="69">
        <f t="shared" si="1"/>
        <v>0</v>
      </c>
      <c r="F44" s="49"/>
      <c r="G44" s="57"/>
      <c r="H44" s="151" t="s">
        <v>85</v>
      </c>
      <c r="I44" s="140"/>
      <c r="J44" s="141"/>
      <c r="K44" s="72">
        <f>SUM(K12:K38)</f>
        <v>0</v>
      </c>
      <c r="M44" s="49"/>
      <c r="N44" s="50"/>
      <c r="O44" s="89"/>
      <c r="U44" s="49"/>
    </row>
    <row r="45" spans="1:21" x14ac:dyDescent="0.25">
      <c r="A45" s="57"/>
      <c r="F45" s="49"/>
      <c r="G45" s="57"/>
      <c r="M45" s="49"/>
      <c r="N45" s="57"/>
      <c r="U45" s="49"/>
    </row>
    <row r="46" spans="1:21" x14ac:dyDescent="0.25">
      <c r="A46" s="57"/>
      <c r="F46" s="49"/>
      <c r="G46" s="57"/>
      <c r="M46" s="49"/>
      <c r="N46" s="57"/>
      <c r="U46" s="49"/>
    </row>
    <row r="47" spans="1:21" ht="15.75" customHeight="1" thickBot="1" x14ac:dyDescent="0.3">
      <c r="A47" s="128"/>
      <c r="B47" s="129"/>
      <c r="C47" s="129"/>
      <c r="D47" s="129"/>
      <c r="E47" s="129"/>
      <c r="F47" s="130"/>
      <c r="G47" s="128"/>
      <c r="H47" s="129"/>
      <c r="I47" s="129"/>
      <c r="J47" s="129"/>
      <c r="K47" s="129"/>
      <c r="L47" s="129"/>
      <c r="M47" s="130"/>
      <c r="N47" s="128"/>
      <c r="O47" s="129"/>
      <c r="P47" s="129"/>
      <c r="Q47" s="129"/>
      <c r="R47" s="129"/>
      <c r="S47" s="129"/>
      <c r="T47" s="129"/>
      <c r="U47" s="130"/>
    </row>
    <row r="48" spans="1:21" ht="17.25" customHeight="1" x14ac:dyDescent="0.25">
      <c r="A48" s="131"/>
      <c r="B48" s="129"/>
      <c r="C48" s="129"/>
      <c r="D48" s="129"/>
      <c r="E48" s="129"/>
      <c r="F48" s="130"/>
      <c r="G48" s="131"/>
      <c r="H48" s="129"/>
      <c r="I48" s="129"/>
      <c r="J48" s="129"/>
      <c r="K48" s="129"/>
      <c r="L48" s="129"/>
      <c r="M48" s="130"/>
      <c r="N48" s="131"/>
      <c r="O48" s="129"/>
      <c r="P48" s="129"/>
      <c r="Q48" s="129"/>
      <c r="R48" s="129"/>
      <c r="S48" s="129"/>
      <c r="T48" s="129"/>
      <c r="U48" s="130"/>
    </row>
    <row r="49" spans="1:21" ht="20.25" customHeight="1" thickBot="1" x14ac:dyDescent="0.3">
      <c r="A49" s="132"/>
      <c r="B49" s="133"/>
      <c r="C49" s="133"/>
      <c r="D49" s="133"/>
      <c r="E49" s="133"/>
      <c r="F49" s="134"/>
      <c r="G49" s="132"/>
      <c r="H49" s="133"/>
      <c r="I49" s="133"/>
      <c r="J49" s="133"/>
      <c r="K49" s="133"/>
      <c r="L49" s="133"/>
      <c r="M49" s="134"/>
      <c r="N49" s="132"/>
      <c r="O49" s="133"/>
      <c r="P49" s="133"/>
      <c r="Q49" s="133"/>
      <c r="R49" s="133"/>
      <c r="S49" s="133"/>
      <c r="T49" s="133"/>
      <c r="U49" s="134"/>
    </row>
    <row r="50" spans="1:21" ht="15.75" customHeight="1" x14ac:dyDescent="0.25">
      <c r="A50" s="45"/>
      <c r="B50" s="46"/>
      <c r="C50" s="46"/>
      <c r="D50" s="46"/>
      <c r="E50" s="46"/>
      <c r="F50" s="47"/>
      <c r="G50" s="45"/>
      <c r="H50" s="46"/>
      <c r="I50" s="46"/>
      <c r="J50" s="46"/>
      <c r="K50" s="46"/>
      <c r="L50" s="46"/>
      <c r="M50" s="47"/>
      <c r="N50" s="45"/>
      <c r="O50" s="46"/>
      <c r="P50" s="46"/>
      <c r="Q50" s="46"/>
      <c r="R50" s="46"/>
      <c r="S50" s="46"/>
      <c r="T50" s="46"/>
      <c r="U50" s="47"/>
    </row>
    <row r="51" spans="1:21" ht="15.75" customHeight="1" x14ac:dyDescent="0.25">
      <c r="A51" s="43"/>
      <c r="B51" s="88"/>
      <c r="C51" s="89"/>
      <c r="D51" s="89"/>
      <c r="E51" s="89"/>
      <c r="F51" s="49"/>
      <c r="G51" s="50"/>
      <c r="H51" s="89"/>
      <c r="I51" s="89"/>
      <c r="J51" s="89"/>
      <c r="K51" s="89"/>
      <c r="L51" s="89"/>
      <c r="M51" s="51"/>
      <c r="N51" s="43"/>
      <c r="O51" s="88"/>
      <c r="P51" s="88"/>
      <c r="Q51" s="88"/>
      <c r="R51" s="88"/>
      <c r="U51" s="49"/>
    </row>
    <row r="52" spans="1:21" ht="14.25" customHeight="1" x14ac:dyDescent="0.25">
      <c r="A52" s="43"/>
      <c r="B52" s="88"/>
      <c r="C52" s="89"/>
      <c r="D52" s="89"/>
      <c r="E52" s="89"/>
      <c r="F52" s="52"/>
      <c r="G52" s="50"/>
      <c r="H52" s="89"/>
      <c r="I52" s="89"/>
      <c r="J52" s="89"/>
      <c r="K52" s="135"/>
      <c r="L52" s="129"/>
      <c r="M52" s="53"/>
      <c r="N52" s="43"/>
      <c r="O52" s="88"/>
      <c r="P52" s="88"/>
      <c r="Q52" s="88"/>
      <c r="R52" s="88"/>
      <c r="U52" s="49"/>
    </row>
    <row r="53" spans="1:21" ht="15.75" customHeight="1" x14ac:dyDescent="0.25">
      <c r="A53" s="54" t="str">
        <f>A4</f>
        <v>PERÍODO DE APURAÇÃO: 2026</v>
      </c>
      <c r="B53" s="90"/>
      <c r="C53" s="89"/>
      <c r="F53" s="52"/>
      <c r="G53" s="54" t="str">
        <f>A4</f>
        <v>PERÍODO DE APURAÇÃO: 2026</v>
      </c>
      <c r="H53" s="89"/>
      <c r="I53" s="89"/>
      <c r="J53" s="89"/>
      <c r="K53" s="135"/>
      <c r="L53" s="129"/>
      <c r="M53" s="53"/>
      <c r="N53" s="54" t="str">
        <f>G53</f>
        <v>PERÍODO DE APURAÇÃO: 2026</v>
      </c>
      <c r="O53" s="90"/>
      <c r="P53" s="90"/>
      <c r="Q53" s="90"/>
      <c r="R53" s="90"/>
      <c r="S53" s="90"/>
      <c r="U53" s="49"/>
    </row>
    <row r="54" spans="1:21" ht="15.75" customHeight="1" x14ac:dyDescent="0.25">
      <c r="A54" s="54" t="str">
        <f>A5</f>
        <v xml:space="preserve">INVESTIDOR: </v>
      </c>
      <c r="B54" s="90"/>
      <c r="C54" s="89"/>
      <c r="F54" s="49"/>
      <c r="G54" s="54" t="str">
        <f>A54</f>
        <v xml:space="preserve">INVESTIDOR: </v>
      </c>
      <c r="H54" s="89"/>
      <c r="I54" s="89"/>
      <c r="J54" s="89"/>
      <c r="K54" s="89"/>
      <c r="L54" s="89"/>
      <c r="M54" s="51"/>
      <c r="N54" s="54" t="str">
        <f>G54</f>
        <v xml:space="preserve">INVESTIDOR: </v>
      </c>
      <c r="O54" s="90"/>
      <c r="P54" s="90"/>
      <c r="Q54" s="90"/>
      <c r="R54" s="90"/>
      <c r="S54" s="90"/>
      <c r="T54" s="90"/>
      <c r="U54" s="55"/>
    </row>
    <row r="55" spans="1:21" ht="15.75" customHeight="1" x14ac:dyDescent="0.25">
      <c r="A55" s="54" t="str">
        <f>A6</f>
        <v xml:space="preserve">CPF: </v>
      </c>
      <c r="B55" s="90"/>
      <c r="C55" s="89"/>
      <c r="D55" s="89"/>
      <c r="E55" s="89"/>
      <c r="F55" s="51"/>
      <c r="G55" s="54" t="str">
        <f>A55</f>
        <v xml:space="preserve">CPF: </v>
      </c>
      <c r="H55" s="89"/>
      <c r="I55" s="89"/>
      <c r="J55" s="89"/>
      <c r="K55" s="89"/>
      <c r="L55" s="89"/>
      <c r="M55" s="51"/>
      <c r="N55" s="54" t="str">
        <f>G55</f>
        <v xml:space="preserve">CPF: </v>
      </c>
      <c r="O55" s="90"/>
      <c r="P55" s="90"/>
      <c r="Q55" s="90"/>
      <c r="R55" s="90"/>
      <c r="S55" s="90"/>
      <c r="T55" s="90"/>
      <c r="U55" s="55"/>
    </row>
    <row r="56" spans="1:21" ht="15.75" customHeight="1" thickBot="1" x14ac:dyDescent="0.3">
      <c r="A56" s="56"/>
      <c r="F56" s="49"/>
      <c r="G56" s="57"/>
      <c r="M56" s="49"/>
      <c r="N56" s="57"/>
      <c r="U56" s="49"/>
    </row>
    <row r="57" spans="1:21" ht="15" customHeight="1" thickBot="1" x14ac:dyDescent="0.3">
      <c r="A57" s="145" t="s">
        <v>101</v>
      </c>
      <c r="B57" s="146"/>
      <c r="C57" s="146"/>
      <c r="D57" s="146"/>
      <c r="E57" s="146"/>
      <c r="F57" s="147"/>
      <c r="G57" s="148" t="s">
        <v>84</v>
      </c>
      <c r="H57" s="149"/>
      <c r="I57" s="149"/>
      <c r="J57" s="149"/>
      <c r="K57" s="149"/>
      <c r="L57" s="149"/>
      <c r="M57" s="150"/>
      <c r="N57" s="148" t="s">
        <v>83</v>
      </c>
      <c r="O57" s="149"/>
      <c r="P57" s="149"/>
      <c r="Q57" s="149"/>
      <c r="R57" s="149"/>
      <c r="S57" s="149"/>
      <c r="T57" s="149"/>
      <c r="U57" s="150"/>
    </row>
    <row r="58" spans="1:21" ht="15.75" customHeight="1" x14ac:dyDescent="0.25">
      <c r="A58" s="57"/>
      <c r="F58" s="49"/>
      <c r="G58" s="57"/>
      <c r="M58" s="49"/>
      <c r="N58" s="57"/>
      <c r="U58" s="49"/>
    </row>
    <row r="59" spans="1:21" ht="15" customHeight="1" x14ac:dyDescent="0.25">
      <c r="A59" s="57"/>
      <c r="B59" s="136" t="s">
        <v>82</v>
      </c>
      <c r="C59" s="137"/>
      <c r="D59" s="137"/>
      <c r="E59" s="138"/>
      <c r="F59" s="49"/>
      <c r="G59" s="57"/>
      <c r="M59" s="49"/>
      <c r="N59" s="57"/>
      <c r="U59" s="49"/>
    </row>
    <row r="60" spans="1:21" ht="15" customHeight="1" x14ac:dyDescent="0.25">
      <c r="A60" s="57"/>
      <c r="B60" s="58" t="s">
        <v>75</v>
      </c>
      <c r="C60" s="59" t="s">
        <v>81</v>
      </c>
      <c r="D60" s="59" t="s">
        <v>80</v>
      </c>
      <c r="E60" s="59" t="s">
        <v>79</v>
      </c>
      <c r="F60" s="49"/>
      <c r="G60" s="57"/>
      <c r="M60" s="49"/>
      <c r="N60" s="57"/>
      <c r="U60" s="49"/>
    </row>
    <row r="61" spans="1:21" ht="15" customHeight="1" x14ac:dyDescent="0.25">
      <c r="A61" s="57"/>
      <c r="B61" s="142" t="s">
        <v>103</v>
      </c>
      <c r="C61" s="143"/>
      <c r="D61" s="144"/>
      <c r="E61" s="62">
        <v>0</v>
      </c>
      <c r="F61" s="49"/>
      <c r="G61" s="57"/>
      <c r="M61" s="49"/>
      <c r="N61" s="57"/>
      <c r="U61" s="49"/>
    </row>
    <row r="62" spans="1:21" ht="15" customHeight="1" x14ac:dyDescent="0.25">
      <c r="A62" s="57"/>
      <c r="B62" s="68">
        <v>46023</v>
      </c>
      <c r="C62" s="69">
        <f>IFERROR(MIN(0,'01.26'!$B$49),0)</f>
        <v>0</v>
      </c>
      <c r="D62" s="70">
        <f>IFERROR(MAX(0,'01.26'!$B$49),0)</f>
        <v>0</v>
      </c>
      <c r="E62" s="69">
        <f t="shared" ref="E62:E73" si="2">E61+C62+D62</f>
        <v>0</v>
      </c>
      <c r="F62" s="49"/>
      <c r="G62" s="57"/>
      <c r="J62" s="91"/>
      <c r="M62" s="49"/>
      <c r="N62" s="57"/>
      <c r="U62" s="49"/>
    </row>
    <row r="63" spans="1:21" ht="15" customHeight="1" x14ac:dyDescent="0.25">
      <c r="A63" s="57"/>
      <c r="B63" s="68">
        <v>46054</v>
      </c>
      <c r="C63" s="69">
        <f>IFERROR(MIN(0,'02.26'!$B$49),0)</f>
        <v>0</v>
      </c>
      <c r="D63" s="70">
        <f>IFERROR(MAX(0,'02.26'!$B$49),0)</f>
        <v>0</v>
      </c>
      <c r="E63" s="69">
        <f t="shared" si="2"/>
        <v>0</v>
      </c>
      <c r="F63" s="49"/>
      <c r="G63" s="57"/>
      <c r="M63" s="49"/>
      <c r="N63" s="57"/>
      <c r="U63" s="49"/>
    </row>
    <row r="64" spans="1:21" ht="15" customHeight="1" x14ac:dyDescent="0.25">
      <c r="A64" s="57"/>
      <c r="B64" s="68">
        <v>46082</v>
      </c>
      <c r="C64" s="69">
        <f>IFERROR(MIN(0,'03.26'!$B$49),0)</f>
        <v>0</v>
      </c>
      <c r="D64" s="70">
        <f>IFERROR(MAX(0,'03.26'!$B$49),0)</f>
        <v>0</v>
      </c>
      <c r="E64" s="69">
        <f t="shared" si="2"/>
        <v>0</v>
      </c>
      <c r="F64" s="49"/>
      <c r="G64" s="57"/>
      <c r="I64" s="89"/>
      <c r="J64" s="92"/>
      <c r="M64" s="49"/>
      <c r="N64" s="57"/>
      <c r="U64" s="49"/>
    </row>
    <row r="65" spans="1:21" ht="15" customHeight="1" x14ac:dyDescent="0.25">
      <c r="A65" s="57"/>
      <c r="B65" s="68">
        <v>46113</v>
      </c>
      <c r="C65" s="69">
        <f>IFERROR(MIN(0,'04.26'!$B$49),0)</f>
        <v>0</v>
      </c>
      <c r="D65" s="70">
        <f>IFERROR(MAX(0,'04.26'!$B$49),0)</f>
        <v>0</v>
      </c>
      <c r="E65" s="69">
        <f t="shared" si="2"/>
        <v>0</v>
      </c>
      <c r="F65" s="49"/>
      <c r="G65" s="57"/>
      <c r="I65" s="89"/>
      <c r="J65" s="92"/>
      <c r="M65" s="49"/>
      <c r="N65" s="57"/>
      <c r="U65" s="49"/>
    </row>
    <row r="66" spans="1:21" ht="15" customHeight="1" x14ac:dyDescent="0.25">
      <c r="A66" s="57"/>
      <c r="B66" s="68">
        <v>46143</v>
      </c>
      <c r="C66" s="69">
        <f>IFERROR(MIN(0,'05.26'!$B$49),0)</f>
        <v>0</v>
      </c>
      <c r="D66" s="70">
        <f>IFERROR(MAX(0,'05.26'!$B$49),0)</f>
        <v>0</v>
      </c>
      <c r="E66" s="69">
        <f t="shared" si="2"/>
        <v>0</v>
      </c>
      <c r="F66" s="49"/>
      <c r="G66" s="57"/>
      <c r="J66" s="93"/>
      <c r="M66" s="49"/>
      <c r="N66" s="57"/>
      <c r="U66" s="49"/>
    </row>
    <row r="67" spans="1:21" ht="15" customHeight="1" x14ac:dyDescent="0.25">
      <c r="A67" s="57"/>
      <c r="B67" s="68">
        <v>46174</v>
      </c>
      <c r="C67" s="69">
        <f>IFERROR(MIN(0,'06.26'!$B$49),0)</f>
        <v>0</v>
      </c>
      <c r="D67" s="70">
        <f>IFERROR(MAX(0,'06.26'!$B$49),0)</f>
        <v>0</v>
      </c>
      <c r="E67" s="69">
        <f t="shared" si="2"/>
        <v>0</v>
      </c>
      <c r="F67" s="49"/>
      <c r="G67" s="57"/>
      <c r="I67" s="89"/>
      <c r="J67" s="94"/>
      <c r="M67" s="49"/>
      <c r="N67" s="57"/>
      <c r="U67" s="49"/>
    </row>
    <row r="68" spans="1:21" ht="15" customHeight="1" x14ac:dyDescent="0.25">
      <c r="A68" s="73"/>
      <c r="B68" s="68">
        <v>46204</v>
      </c>
      <c r="C68" s="69">
        <f>IFERROR(MIN(0,'07.26'!$B$49),0)</f>
        <v>0</v>
      </c>
      <c r="D68" s="70">
        <f>IFERROR(MAX(0,'07.26'!$B$49),0)</f>
        <v>0</v>
      </c>
      <c r="E68" s="69">
        <f t="shared" si="2"/>
        <v>0</v>
      </c>
      <c r="F68" s="74"/>
      <c r="G68" s="57"/>
      <c r="I68" s="89"/>
      <c r="J68" s="94"/>
      <c r="M68" s="49"/>
      <c r="N68" s="57"/>
      <c r="U68" s="49"/>
    </row>
    <row r="69" spans="1:21" ht="15" customHeight="1" x14ac:dyDescent="0.25">
      <c r="A69" s="57"/>
      <c r="B69" s="68">
        <v>46235</v>
      </c>
      <c r="C69" s="69">
        <f>IFERROR(MIN(0,'08.26'!$B$49),0)</f>
        <v>0</v>
      </c>
      <c r="D69" s="70">
        <f>IFERROR(MAX(0,'08.26'!$B$49),0)</f>
        <v>0</v>
      </c>
      <c r="E69" s="69">
        <f t="shared" si="2"/>
        <v>0</v>
      </c>
      <c r="F69" s="49"/>
      <c r="G69" s="57"/>
      <c r="M69" s="49"/>
      <c r="N69" s="57"/>
      <c r="U69" s="49"/>
    </row>
    <row r="70" spans="1:21" ht="15" customHeight="1" x14ac:dyDescent="0.25">
      <c r="A70" s="57"/>
      <c r="B70" s="68">
        <v>46266</v>
      </c>
      <c r="C70" s="69">
        <f>IFERROR(MIN(0,'09.26'!$B$49),0)</f>
        <v>0</v>
      </c>
      <c r="D70" s="70">
        <f>IFERROR(MAX(0,'09.26'!$B$49),0)</f>
        <v>0</v>
      </c>
      <c r="E70" s="69">
        <f t="shared" si="2"/>
        <v>0</v>
      </c>
      <c r="F70" s="49"/>
      <c r="G70" s="57"/>
      <c r="M70" s="49"/>
      <c r="N70" s="57"/>
      <c r="U70" s="49"/>
    </row>
    <row r="71" spans="1:21" ht="15" customHeight="1" x14ac:dyDescent="0.25">
      <c r="A71" s="57"/>
      <c r="B71" s="68">
        <v>46296</v>
      </c>
      <c r="C71" s="69">
        <f>IFERROR(MIN(0,'10.26'!$B$49),0)</f>
        <v>0</v>
      </c>
      <c r="D71" s="70">
        <f>IFERROR(MAX(0,'10.26'!$B$49),0)</f>
        <v>0</v>
      </c>
      <c r="E71" s="69">
        <f t="shared" si="2"/>
        <v>0</v>
      </c>
      <c r="F71" s="49"/>
      <c r="G71" s="57"/>
      <c r="M71" s="49"/>
      <c r="N71" s="57"/>
      <c r="U71" s="49"/>
    </row>
    <row r="72" spans="1:21" ht="15" customHeight="1" x14ac:dyDescent="0.25">
      <c r="A72" s="57"/>
      <c r="B72" s="68">
        <v>46327</v>
      </c>
      <c r="C72" s="69">
        <f>IFERROR(MIN(0,'11.26'!$B$49),0)</f>
        <v>0</v>
      </c>
      <c r="D72" s="70">
        <f>IFERROR(MAX(0,'11.26'!$B$49),0)</f>
        <v>0</v>
      </c>
      <c r="E72" s="69">
        <f t="shared" si="2"/>
        <v>0</v>
      </c>
      <c r="F72" s="49"/>
      <c r="G72" s="57"/>
      <c r="M72" s="49"/>
      <c r="N72" s="57"/>
      <c r="U72" s="49"/>
    </row>
    <row r="73" spans="1:21" ht="15" customHeight="1" x14ac:dyDescent="0.25">
      <c r="A73" s="57"/>
      <c r="B73" s="68">
        <v>46357</v>
      </c>
      <c r="C73" s="69">
        <f>IFERROR(MIN(0,'12.26'!$B$49),0)</f>
        <v>0</v>
      </c>
      <c r="D73" s="70">
        <f>IFERROR(MAX(0,'12.26'!$B$49),0)</f>
        <v>0</v>
      </c>
      <c r="E73" s="69">
        <f t="shared" si="2"/>
        <v>0</v>
      </c>
      <c r="F73" s="49"/>
      <c r="G73" s="57"/>
      <c r="M73" s="49"/>
      <c r="N73" s="57"/>
      <c r="U73" s="49"/>
    </row>
    <row r="74" spans="1:21" ht="15" customHeight="1" x14ac:dyDescent="0.25">
      <c r="A74" s="57"/>
      <c r="F74" s="49"/>
      <c r="G74" s="57"/>
      <c r="M74" s="49"/>
      <c r="N74" s="57"/>
      <c r="U74" s="49"/>
    </row>
    <row r="75" spans="1:21" ht="15" customHeight="1" x14ac:dyDescent="0.25">
      <c r="A75" s="57"/>
      <c r="F75" s="49"/>
      <c r="G75" s="57"/>
      <c r="M75" s="49"/>
      <c r="N75" s="57"/>
      <c r="U75" s="49"/>
    </row>
    <row r="76" spans="1:21" ht="15" customHeight="1" x14ac:dyDescent="0.25">
      <c r="A76" s="57"/>
      <c r="F76" s="49"/>
      <c r="G76" s="57"/>
      <c r="M76" s="49"/>
      <c r="N76" s="57"/>
      <c r="U76" s="49"/>
    </row>
    <row r="77" spans="1:21" ht="15" customHeight="1" x14ac:dyDescent="0.25">
      <c r="A77" s="57"/>
      <c r="F77" s="49"/>
      <c r="G77" s="57"/>
      <c r="M77" s="49"/>
      <c r="N77" s="57"/>
      <c r="U77" s="49"/>
    </row>
    <row r="78" spans="1:21" ht="15" customHeight="1" x14ac:dyDescent="0.25">
      <c r="A78" s="57"/>
      <c r="F78" s="49"/>
      <c r="G78" s="57"/>
      <c r="M78" s="49"/>
      <c r="N78" s="57"/>
      <c r="U78" s="49"/>
    </row>
    <row r="79" spans="1:21" ht="15" customHeight="1" x14ac:dyDescent="0.25">
      <c r="A79" s="57"/>
      <c r="F79" s="49"/>
      <c r="G79" s="57"/>
      <c r="M79" s="49"/>
      <c r="N79" s="57"/>
      <c r="U79" s="49"/>
    </row>
    <row r="80" spans="1:21" ht="15" customHeight="1" x14ac:dyDescent="0.25">
      <c r="A80" s="57"/>
      <c r="F80" s="49"/>
      <c r="G80" s="57"/>
      <c r="M80" s="49"/>
      <c r="N80" s="57"/>
      <c r="U80" s="49"/>
    </row>
    <row r="81" spans="1:21" ht="15" customHeight="1" x14ac:dyDescent="0.25">
      <c r="A81" s="57"/>
      <c r="F81" s="49"/>
      <c r="G81" s="57"/>
      <c r="M81" s="49"/>
      <c r="N81" s="57"/>
      <c r="U81" s="49"/>
    </row>
    <row r="82" spans="1:21" ht="15" customHeight="1" x14ac:dyDescent="0.25">
      <c r="A82" s="57"/>
      <c r="F82" s="49"/>
      <c r="G82" s="57"/>
      <c r="M82" s="49"/>
      <c r="N82" s="57"/>
      <c r="U82" s="49"/>
    </row>
    <row r="83" spans="1:21" ht="15" customHeight="1" x14ac:dyDescent="0.25">
      <c r="A83" s="57"/>
      <c r="F83" s="49"/>
      <c r="G83" s="57"/>
      <c r="M83" s="49"/>
      <c r="N83" s="57"/>
      <c r="U83" s="49"/>
    </row>
    <row r="84" spans="1:21" ht="15" customHeight="1" x14ac:dyDescent="0.25">
      <c r="A84" s="57"/>
      <c r="F84" s="49"/>
      <c r="G84" s="57"/>
      <c r="M84" s="49"/>
      <c r="N84" s="57"/>
      <c r="U84" s="49"/>
    </row>
    <row r="85" spans="1:21" ht="15" customHeight="1" x14ac:dyDescent="0.25">
      <c r="A85" s="57"/>
      <c r="F85" s="49"/>
      <c r="G85" s="57"/>
      <c r="M85" s="49"/>
      <c r="N85" s="57"/>
      <c r="U85" s="49"/>
    </row>
    <row r="86" spans="1:21" ht="15" customHeight="1" x14ac:dyDescent="0.25">
      <c r="A86" s="57"/>
      <c r="F86" s="49"/>
      <c r="G86" s="57"/>
      <c r="M86" s="49"/>
      <c r="N86" s="57"/>
      <c r="U86" s="49"/>
    </row>
    <row r="87" spans="1:21" x14ac:dyDescent="0.25">
      <c r="A87" s="57"/>
      <c r="F87" s="49"/>
      <c r="G87" s="57"/>
      <c r="M87" s="49"/>
      <c r="N87" s="57"/>
      <c r="U87" s="49"/>
    </row>
    <row r="88" spans="1:21" x14ac:dyDescent="0.25">
      <c r="A88" s="57"/>
      <c r="F88" s="49"/>
      <c r="G88" s="57"/>
      <c r="M88" s="49"/>
      <c r="N88" s="57"/>
      <c r="U88" s="49"/>
    </row>
    <row r="89" spans="1:21" ht="15.75" customHeight="1" x14ac:dyDescent="0.25">
      <c r="A89" s="57"/>
      <c r="F89" s="49"/>
      <c r="G89" s="57"/>
      <c r="M89" s="49"/>
      <c r="N89" s="57"/>
      <c r="U89" s="49"/>
    </row>
    <row r="90" spans="1:21" ht="15.75" customHeight="1" x14ac:dyDescent="0.25">
      <c r="A90" s="57"/>
      <c r="F90" s="49"/>
      <c r="G90" s="57"/>
      <c r="M90" s="49"/>
      <c r="N90" s="57"/>
      <c r="U90" s="49"/>
    </row>
    <row r="91" spans="1:21" x14ac:dyDescent="0.25">
      <c r="A91" s="57"/>
      <c r="F91" s="49"/>
      <c r="G91" s="57"/>
      <c r="M91" s="49"/>
      <c r="N91" s="57"/>
      <c r="U91" s="49"/>
    </row>
    <row r="92" spans="1:21" x14ac:dyDescent="0.25">
      <c r="A92" s="57"/>
      <c r="F92" s="49"/>
      <c r="G92" s="57"/>
      <c r="M92" s="49"/>
      <c r="N92" s="57"/>
      <c r="U92" s="49"/>
    </row>
    <row r="93" spans="1:21" x14ac:dyDescent="0.25">
      <c r="A93" s="57"/>
      <c r="F93" s="49"/>
      <c r="G93" s="57"/>
      <c r="M93" s="49"/>
      <c r="N93" s="57"/>
      <c r="U93" s="49"/>
    </row>
    <row r="94" spans="1:21" x14ac:dyDescent="0.25">
      <c r="A94" s="57"/>
      <c r="F94" s="49"/>
      <c r="G94" s="57"/>
      <c r="M94" s="49"/>
      <c r="N94" s="57"/>
      <c r="U94" s="49"/>
    </row>
    <row r="95" spans="1:21" x14ac:dyDescent="0.25">
      <c r="A95" s="57"/>
      <c r="F95" s="49"/>
      <c r="G95" s="57"/>
      <c r="M95" s="49"/>
      <c r="N95" s="57"/>
      <c r="U95" s="49"/>
    </row>
    <row r="96" spans="1:21" ht="15.75" thickBot="1" x14ac:dyDescent="0.3">
      <c r="A96" s="128"/>
      <c r="B96" s="129"/>
      <c r="C96" s="129"/>
      <c r="D96" s="129"/>
      <c r="E96" s="129"/>
      <c r="F96" s="130"/>
      <c r="G96" s="128"/>
      <c r="H96" s="129"/>
      <c r="I96" s="129"/>
      <c r="J96" s="129"/>
      <c r="K96" s="129"/>
      <c r="L96" s="129"/>
      <c r="M96" s="130"/>
      <c r="N96" s="128"/>
      <c r="O96" s="129"/>
      <c r="P96" s="129"/>
      <c r="Q96" s="129"/>
      <c r="R96" s="129"/>
      <c r="S96" s="129"/>
      <c r="T96" s="129"/>
      <c r="U96" s="130"/>
    </row>
    <row r="97" spans="1:21" x14ac:dyDescent="0.25">
      <c r="A97" s="131"/>
      <c r="B97" s="129"/>
      <c r="C97" s="129"/>
      <c r="D97" s="129"/>
      <c r="E97" s="129"/>
      <c r="F97" s="130"/>
      <c r="G97" s="131"/>
      <c r="H97" s="129"/>
      <c r="I97" s="129"/>
      <c r="J97" s="129"/>
      <c r="K97" s="129"/>
      <c r="L97" s="129"/>
      <c r="M97" s="130"/>
      <c r="N97" s="131"/>
      <c r="O97" s="129"/>
      <c r="P97" s="129"/>
      <c r="Q97" s="129"/>
      <c r="R97" s="129"/>
      <c r="S97" s="129"/>
      <c r="T97" s="129"/>
      <c r="U97" s="130"/>
    </row>
    <row r="98" spans="1:21" ht="17.25" customHeight="1" thickBot="1" x14ac:dyDescent="0.3">
      <c r="A98" s="132"/>
      <c r="B98" s="133"/>
      <c r="C98" s="133"/>
      <c r="D98" s="133"/>
      <c r="E98" s="133"/>
      <c r="F98" s="134"/>
      <c r="G98" s="132"/>
      <c r="H98" s="133"/>
      <c r="I98" s="133"/>
      <c r="J98" s="133"/>
      <c r="K98" s="133"/>
      <c r="L98" s="133"/>
      <c r="M98" s="134"/>
      <c r="N98" s="132"/>
      <c r="O98" s="133"/>
      <c r="P98" s="133"/>
      <c r="Q98" s="133"/>
      <c r="R98" s="133"/>
      <c r="S98" s="133"/>
      <c r="T98" s="133"/>
      <c r="U98" s="134"/>
    </row>
    <row r="99" spans="1:21" ht="15.75" customHeight="1" x14ac:dyDescent="0.25">
      <c r="A99" s="45"/>
      <c r="B99" s="46"/>
      <c r="C99" s="46"/>
      <c r="D99" s="46"/>
      <c r="E99" s="46"/>
      <c r="F99" s="47"/>
    </row>
    <row r="100" spans="1:21" ht="15.75" customHeight="1" x14ac:dyDescent="0.25">
      <c r="A100" s="43"/>
      <c r="B100" s="88"/>
      <c r="C100" s="89"/>
      <c r="D100" s="89"/>
      <c r="E100" s="89"/>
      <c r="F100" s="49"/>
    </row>
    <row r="101" spans="1:21" ht="15.75" customHeight="1" x14ac:dyDescent="0.25">
      <c r="A101" s="43"/>
      <c r="B101" s="88"/>
      <c r="C101" s="89"/>
      <c r="D101" s="89"/>
      <c r="E101" s="89"/>
      <c r="F101" s="52"/>
    </row>
    <row r="102" spans="1:21" ht="15.75" customHeight="1" x14ac:dyDescent="0.25">
      <c r="A102" s="54" t="str">
        <f>A53</f>
        <v>PERÍODO DE APURAÇÃO: 2026</v>
      </c>
      <c r="B102" s="90"/>
      <c r="C102" s="89"/>
      <c r="F102" s="52"/>
    </row>
    <row r="103" spans="1:21" ht="15.75" customHeight="1" x14ac:dyDescent="0.25">
      <c r="A103" s="54" t="str">
        <f>A54</f>
        <v xml:space="preserve">INVESTIDOR: </v>
      </c>
      <c r="B103" s="90"/>
      <c r="C103" s="89"/>
      <c r="F103" s="49"/>
    </row>
    <row r="104" spans="1:21" ht="15.75" customHeight="1" x14ac:dyDescent="0.25">
      <c r="A104" s="54" t="str">
        <f>A55</f>
        <v xml:space="preserve">CPF: </v>
      </c>
      <c r="B104" s="90"/>
      <c r="C104" s="89"/>
      <c r="D104" s="89"/>
      <c r="E104" s="89"/>
      <c r="F104" s="51"/>
    </row>
    <row r="105" spans="1:21" ht="15" customHeight="1" thickBot="1" x14ac:dyDescent="0.3">
      <c r="A105" s="57"/>
      <c r="F105" s="49"/>
    </row>
    <row r="106" spans="1:21" ht="15" customHeight="1" thickBot="1" x14ac:dyDescent="0.3">
      <c r="A106" s="155" t="s">
        <v>106</v>
      </c>
      <c r="B106" s="149"/>
      <c r="C106" s="149"/>
      <c r="D106" s="149"/>
      <c r="E106" s="149"/>
      <c r="F106" s="150"/>
    </row>
    <row r="107" spans="1:21" ht="15.75" customHeight="1" x14ac:dyDescent="0.25">
      <c r="A107" s="57"/>
      <c r="F107" s="49"/>
    </row>
    <row r="108" spans="1:21" ht="15.6" customHeight="1" x14ac:dyDescent="0.25">
      <c r="A108" s="75"/>
      <c r="B108" s="139" t="s">
        <v>77</v>
      </c>
      <c r="C108" s="140"/>
      <c r="D108" s="140"/>
      <c r="E108" s="141"/>
      <c r="F108" s="76"/>
    </row>
    <row r="109" spans="1:21" x14ac:dyDescent="0.25">
      <c r="A109" s="77"/>
      <c r="B109" s="78" t="s">
        <v>75</v>
      </c>
      <c r="C109" s="79" t="s">
        <v>74</v>
      </c>
      <c r="D109" s="79" t="s">
        <v>69</v>
      </c>
      <c r="E109" s="80" t="s">
        <v>73</v>
      </c>
      <c r="F109" s="81"/>
    </row>
    <row r="110" spans="1:21" ht="15.6" customHeight="1" x14ac:dyDescent="0.25">
      <c r="A110" s="77"/>
      <c r="B110" s="68">
        <v>46023</v>
      </c>
      <c r="C110" s="82">
        <f xml:space="preserve"> IFERROR('01.26'!$C$36+'01.26'!$C$39,0)</f>
        <v>0</v>
      </c>
      <c r="D110" s="83">
        <f>IFERROR(MAX(0,'01.26'!$C$35-'01.26'!$C$42),0)</f>
        <v>0</v>
      </c>
      <c r="E110" s="82">
        <f>C110-D110</f>
        <v>0</v>
      </c>
      <c r="F110" s="81"/>
    </row>
    <row r="111" spans="1:21" ht="15.6" customHeight="1" x14ac:dyDescent="0.25">
      <c r="A111" s="77"/>
      <c r="B111" s="68">
        <v>46054</v>
      </c>
      <c r="C111" s="82">
        <f xml:space="preserve"> IFERROR('02.26'!$C$36+'02.26'!$C$39,0)</f>
        <v>0</v>
      </c>
      <c r="D111" s="83">
        <f>IFERROR(MAX(0,'02.26'!$C$35-'02.26'!$C$42),0)</f>
        <v>0</v>
      </c>
      <c r="E111" s="82">
        <f t="shared" ref="E111:E121" si="3">E110+C111-D111</f>
        <v>0</v>
      </c>
      <c r="F111" s="81"/>
    </row>
    <row r="112" spans="1:21" ht="15.6" customHeight="1" x14ac:dyDescent="0.25">
      <c r="A112" s="75"/>
      <c r="B112" s="68">
        <v>46082</v>
      </c>
      <c r="C112" s="82">
        <f xml:space="preserve"> IFERROR('03.26'!$C$36+'03.26'!$C$39,0)</f>
        <v>0</v>
      </c>
      <c r="D112" s="83">
        <f>IFERROR(MAX(0,'03.26'!$C$35-'03.26'!$C$42),0)</f>
        <v>0</v>
      </c>
      <c r="E112" s="82">
        <f t="shared" si="3"/>
        <v>0</v>
      </c>
      <c r="F112" s="76"/>
    </row>
    <row r="113" spans="1:6" ht="15.6" customHeight="1" x14ac:dyDescent="0.25">
      <c r="A113" s="77"/>
      <c r="B113" s="68">
        <v>46113</v>
      </c>
      <c r="C113" s="82">
        <f xml:space="preserve"> IFERROR('04.26'!$C$36+'04.26'!$C$39,0)</f>
        <v>0</v>
      </c>
      <c r="D113" s="83">
        <f>IFERROR(MAX(0,'04.26'!$C$35-'04.26'!$C$42),0)</f>
        <v>0</v>
      </c>
      <c r="E113" s="82">
        <f t="shared" si="3"/>
        <v>0</v>
      </c>
      <c r="F113" s="81"/>
    </row>
    <row r="114" spans="1:6" ht="15.6" customHeight="1" x14ac:dyDescent="0.25">
      <c r="A114" s="77"/>
      <c r="B114" s="68">
        <v>46143</v>
      </c>
      <c r="C114" s="82">
        <f xml:space="preserve"> IFERROR('05.26'!$C$36+'05.26'!$C$39,0)</f>
        <v>0</v>
      </c>
      <c r="D114" s="83">
        <f>IFERROR(MAX(0,'05.26'!$C$35-'05.26'!$C$42),0)</f>
        <v>0</v>
      </c>
      <c r="E114" s="82">
        <f t="shared" si="3"/>
        <v>0</v>
      </c>
      <c r="F114" s="81"/>
    </row>
    <row r="115" spans="1:6" ht="15.6" customHeight="1" x14ac:dyDescent="0.25">
      <c r="A115" s="77"/>
      <c r="B115" s="68">
        <v>46174</v>
      </c>
      <c r="C115" s="82">
        <f xml:space="preserve"> IFERROR('06.26'!$C$36+'06.26'!$C$39,0)</f>
        <v>0</v>
      </c>
      <c r="D115" s="83">
        <f>IFERROR(MAX(0,'06.26'!$C$35-'06.26'!$C$42),0)</f>
        <v>0</v>
      </c>
      <c r="E115" s="82">
        <f t="shared" si="3"/>
        <v>0</v>
      </c>
      <c r="F115" s="81"/>
    </row>
    <row r="116" spans="1:6" ht="15.6" customHeight="1" x14ac:dyDescent="0.25">
      <c r="A116" s="77"/>
      <c r="B116" s="68">
        <v>46204</v>
      </c>
      <c r="C116" s="82">
        <f xml:space="preserve"> IFERROR('07.26'!$C$36+'07.26'!$C$39,0)</f>
        <v>0</v>
      </c>
      <c r="D116" s="83">
        <f>IFERROR(MAX(0,'07.26'!$C$35-'07.26'!$C$42),0)</f>
        <v>0</v>
      </c>
      <c r="E116" s="82">
        <f t="shared" si="3"/>
        <v>0</v>
      </c>
      <c r="F116" s="81"/>
    </row>
    <row r="117" spans="1:6" ht="15.6" customHeight="1" x14ac:dyDescent="0.25">
      <c r="A117" s="77"/>
      <c r="B117" s="68">
        <v>46235</v>
      </c>
      <c r="C117" s="82">
        <f xml:space="preserve"> IFERROR('08.26'!$C$36+'08.26'!$C$39,0)</f>
        <v>0</v>
      </c>
      <c r="D117" s="83">
        <f>IFERROR(MAX(0,'08.26'!$C$35-'08.26'!$C$42),0)</f>
        <v>0</v>
      </c>
      <c r="E117" s="82">
        <f t="shared" si="3"/>
        <v>0</v>
      </c>
      <c r="F117" s="81"/>
    </row>
    <row r="118" spans="1:6" ht="15.6" customHeight="1" x14ac:dyDescent="0.25">
      <c r="A118" s="77"/>
      <c r="B118" s="68">
        <v>46266</v>
      </c>
      <c r="C118" s="82">
        <f xml:space="preserve"> IFERROR('09.26'!$C$36+'09.26'!$C$39,0)</f>
        <v>0</v>
      </c>
      <c r="D118" s="83">
        <f>IFERROR(MAX(0,'09.26'!$C$35-'09.26'!$C$42),0)</f>
        <v>0</v>
      </c>
      <c r="E118" s="82">
        <f t="shared" si="3"/>
        <v>0</v>
      </c>
      <c r="F118" s="81"/>
    </row>
    <row r="119" spans="1:6" ht="15.6" customHeight="1" x14ac:dyDescent="0.25">
      <c r="A119" s="77"/>
      <c r="B119" s="68">
        <v>46296</v>
      </c>
      <c r="C119" s="82">
        <f xml:space="preserve"> IFERROR('10.26'!$C$36+'10.26'!$C$39,0)</f>
        <v>0</v>
      </c>
      <c r="D119" s="83">
        <f>IFERROR(MAX(0,'10.26'!$C$35-'10.26'!$C$42),0)</f>
        <v>0</v>
      </c>
      <c r="E119" s="82">
        <f t="shared" si="3"/>
        <v>0</v>
      </c>
      <c r="F119" s="81"/>
    </row>
    <row r="120" spans="1:6" ht="15.6" customHeight="1" x14ac:dyDescent="0.25">
      <c r="A120" s="75"/>
      <c r="B120" s="68">
        <v>46327</v>
      </c>
      <c r="C120" s="82">
        <f xml:space="preserve"> IFERROR('11.26'!$C$36+'11.26'!$C$39,0)</f>
        <v>0</v>
      </c>
      <c r="D120" s="83">
        <f>IFERROR(MAX(0,'11.26'!$C$35-'11.26'!$C$42),0)</f>
        <v>0</v>
      </c>
      <c r="E120" s="82">
        <f t="shared" si="3"/>
        <v>0</v>
      </c>
      <c r="F120" s="76"/>
    </row>
    <row r="121" spans="1:6" ht="15.6" customHeight="1" x14ac:dyDescent="0.25">
      <c r="A121" s="75"/>
      <c r="B121" s="68">
        <v>46357</v>
      </c>
      <c r="C121" s="82">
        <f xml:space="preserve"> IFERROR('12.26'!$C$36+'12.26'!$C$39,0)</f>
        <v>0</v>
      </c>
      <c r="D121" s="83">
        <f>IFERROR(MAX(0,'12.26'!$C$35-'12.26'!$C$42),0)</f>
        <v>0</v>
      </c>
      <c r="E121" s="82">
        <f t="shared" si="3"/>
        <v>0</v>
      </c>
      <c r="F121" s="76"/>
    </row>
    <row r="122" spans="1:6" ht="15.75" customHeight="1" x14ac:dyDescent="0.25">
      <c r="A122" s="75"/>
      <c r="B122" s="99"/>
      <c r="C122" s="98"/>
      <c r="D122" s="100"/>
      <c r="E122" s="101"/>
      <c r="F122" s="76"/>
    </row>
    <row r="123" spans="1:6" x14ac:dyDescent="0.25">
      <c r="A123" s="57"/>
      <c r="F123" s="49"/>
    </row>
    <row r="124" spans="1:6" ht="15.6" customHeight="1" x14ac:dyDescent="0.25">
      <c r="A124" s="57"/>
      <c r="B124" s="139" t="s">
        <v>76</v>
      </c>
      <c r="C124" s="140"/>
      <c r="D124" s="140"/>
      <c r="E124" s="141"/>
      <c r="F124" s="49"/>
    </row>
    <row r="125" spans="1:6" x14ac:dyDescent="0.25">
      <c r="A125" s="57"/>
      <c r="B125" s="78" t="s">
        <v>75</v>
      </c>
      <c r="C125" s="79" t="s">
        <v>74</v>
      </c>
      <c r="D125" s="79" t="s">
        <v>69</v>
      </c>
      <c r="E125" s="80" t="s">
        <v>73</v>
      </c>
      <c r="F125" s="49"/>
    </row>
    <row r="126" spans="1:6" ht="15.6" customHeight="1" x14ac:dyDescent="0.25">
      <c r="A126" s="57"/>
      <c r="B126" s="68">
        <v>46023</v>
      </c>
      <c r="C126" s="82">
        <f xml:space="preserve"> IFERROR('01.26'!$B$56,0)</f>
        <v>0</v>
      </c>
      <c r="D126" s="83">
        <f>IFERROR(MAX(0,'01.26'!$B$54-'01.26'!$B$59),0)</f>
        <v>0</v>
      </c>
      <c r="E126" s="82">
        <f>C126-D126</f>
        <v>0</v>
      </c>
      <c r="F126" s="49"/>
    </row>
    <row r="127" spans="1:6" ht="15.6" customHeight="1" x14ac:dyDescent="0.25">
      <c r="A127" s="57"/>
      <c r="B127" s="68">
        <v>46054</v>
      </c>
      <c r="C127" s="82">
        <f xml:space="preserve"> IFERROR('02.26'!$B$56,0)</f>
        <v>0</v>
      </c>
      <c r="D127" s="83">
        <f>IFERROR(MAX(0,'02.26'!$B$54-'02.26'!$B$59),0)</f>
        <v>0</v>
      </c>
      <c r="E127" s="82">
        <f t="shared" ref="E127:E137" si="4">E126+C127-D127</f>
        <v>0</v>
      </c>
      <c r="F127" s="49"/>
    </row>
    <row r="128" spans="1:6" ht="15.6" customHeight="1" x14ac:dyDescent="0.25">
      <c r="A128" s="57"/>
      <c r="B128" s="68">
        <v>46082</v>
      </c>
      <c r="C128" s="82">
        <f xml:space="preserve"> IFERROR('03.26'!$B$56,0)</f>
        <v>0</v>
      </c>
      <c r="D128" s="83">
        <f>IFERROR(MAX(0,'03.26'!$B$54-'03.26'!$B$59),0)</f>
        <v>0</v>
      </c>
      <c r="E128" s="82">
        <f t="shared" si="4"/>
        <v>0</v>
      </c>
      <c r="F128" s="49"/>
    </row>
    <row r="129" spans="1:6" ht="15.6" customHeight="1" x14ac:dyDescent="0.25">
      <c r="A129" s="57"/>
      <c r="B129" s="68">
        <v>46113</v>
      </c>
      <c r="C129" s="82">
        <f xml:space="preserve"> IFERROR('04.26'!$B$56,0)</f>
        <v>0</v>
      </c>
      <c r="D129" s="83">
        <f>IFERROR(MAX(0,'04.26'!$B$54-'04.26'!$B$59),0)</f>
        <v>0</v>
      </c>
      <c r="E129" s="82">
        <f t="shared" si="4"/>
        <v>0</v>
      </c>
      <c r="F129" s="49"/>
    </row>
    <row r="130" spans="1:6" ht="15.6" customHeight="1" x14ac:dyDescent="0.25">
      <c r="A130" s="57"/>
      <c r="B130" s="68">
        <v>46143</v>
      </c>
      <c r="C130" s="82">
        <f xml:space="preserve"> IFERROR('05.26'!$B$56,0)</f>
        <v>0</v>
      </c>
      <c r="D130" s="83">
        <f>IFERROR(MAX(0,'05.26'!$B$54-'05.26'!$B$59),0)</f>
        <v>0</v>
      </c>
      <c r="E130" s="82">
        <f t="shared" si="4"/>
        <v>0</v>
      </c>
      <c r="F130" s="49"/>
    </row>
    <row r="131" spans="1:6" ht="15.6" customHeight="1" x14ac:dyDescent="0.25">
      <c r="A131" s="57"/>
      <c r="B131" s="68">
        <v>46174</v>
      </c>
      <c r="C131" s="82">
        <f xml:space="preserve"> IFERROR('06.26'!$B$56,0)</f>
        <v>0</v>
      </c>
      <c r="D131" s="83">
        <f>IFERROR(MAX(0,'06.26'!$B$54-'06.26'!$B$59),0)</f>
        <v>0</v>
      </c>
      <c r="E131" s="82">
        <f t="shared" si="4"/>
        <v>0</v>
      </c>
      <c r="F131" s="49"/>
    </row>
    <row r="132" spans="1:6" ht="15.6" customHeight="1" x14ac:dyDescent="0.25">
      <c r="A132" s="57"/>
      <c r="B132" s="68">
        <v>46204</v>
      </c>
      <c r="C132" s="82">
        <f xml:space="preserve"> IFERROR('07.26'!$B$56,0)</f>
        <v>0</v>
      </c>
      <c r="D132" s="83">
        <f>IFERROR(MAX(0,'07.26'!$B$54-'07.26'!$B$59),0)</f>
        <v>0</v>
      </c>
      <c r="E132" s="82">
        <f t="shared" si="4"/>
        <v>0</v>
      </c>
      <c r="F132" s="49"/>
    </row>
    <row r="133" spans="1:6" ht="15.6" customHeight="1" x14ac:dyDescent="0.25">
      <c r="A133" s="57"/>
      <c r="B133" s="68">
        <v>46235</v>
      </c>
      <c r="C133" s="82">
        <f xml:space="preserve"> IFERROR('08.26'!$B$56,0)</f>
        <v>0</v>
      </c>
      <c r="D133" s="83">
        <f>IFERROR(MAX(0,'08.26'!$B$54-'08.26'!$B$59),0)</f>
        <v>0</v>
      </c>
      <c r="E133" s="82">
        <f t="shared" si="4"/>
        <v>0</v>
      </c>
      <c r="F133" s="49"/>
    </row>
    <row r="134" spans="1:6" ht="15.75" customHeight="1" x14ac:dyDescent="0.25">
      <c r="A134" s="75"/>
      <c r="B134" s="68">
        <v>46266</v>
      </c>
      <c r="C134" s="82">
        <f xml:space="preserve"> IFERROR('09.26'!$B$56,0)</f>
        <v>0</v>
      </c>
      <c r="D134" s="83">
        <f>IFERROR(MAX(0,'09.26'!$B$54-'09.26'!$B$59),0)</f>
        <v>0</v>
      </c>
      <c r="E134" s="82">
        <f t="shared" si="4"/>
        <v>0</v>
      </c>
      <c r="F134" s="76"/>
    </row>
    <row r="135" spans="1:6" ht="15.75" customHeight="1" x14ac:dyDescent="0.25">
      <c r="A135" s="75"/>
      <c r="B135" s="68">
        <v>46296</v>
      </c>
      <c r="C135" s="82">
        <f xml:space="preserve"> IFERROR('10.26'!$B$56,0)</f>
        <v>0</v>
      </c>
      <c r="D135" s="83">
        <f>IFERROR(MAX(0,'10.26'!$B$54-'10.26'!$B$59),0)</f>
        <v>0</v>
      </c>
      <c r="E135" s="82">
        <f t="shared" si="4"/>
        <v>0</v>
      </c>
      <c r="F135" s="76"/>
    </row>
    <row r="136" spans="1:6" ht="15.75" customHeight="1" x14ac:dyDescent="0.25">
      <c r="A136" s="57"/>
      <c r="B136" s="68">
        <v>46327</v>
      </c>
      <c r="C136" s="82">
        <f xml:space="preserve"> IFERROR('11.26'!$B$56,0)</f>
        <v>0</v>
      </c>
      <c r="D136" s="83">
        <f>IFERROR(MAX(0,'11.26'!$B$54-'11.26'!$B$59),0)</f>
        <v>0</v>
      </c>
      <c r="E136" s="82">
        <f t="shared" si="4"/>
        <v>0</v>
      </c>
      <c r="F136" s="49"/>
    </row>
    <row r="137" spans="1:6" ht="15.6" customHeight="1" x14ac:dyDescent="0.25">
      <c r="A137" s="57"/>
      <c r="B137" s="68">
        <v>46357</v>
      </c>
      <c r="C137" s="82">
        <f xml:space="preserve"> IFERROR('12.26'!$B$56,0)</f>
        <v>0</v>
      </c>
      <c r="D137" s="83">
        <f>IFERROR(MAX(0,'12.26'!$B$54-'12.26'!$B$59),0)</f>
        <v>0</v>
      </c>
      <c r="E137" s="82">
        <f t="shared" si="4"/>
        <v>0</v>
      </c>
      <c r="F137" s="49"/>
    </row>
    <row r="138" spans="1:6" x14ac:dyDescent="0.25">
      <c r="A138" s="57"/>
      <c r="F138" s="49"/>
    </row>
    <row r="139" spans="1:6" ht="15.75" customHeight="1" x14ac:dyDescent="0.25">
      <c r="A139" s="57"/>
      <c r="F139" s="49"/>
    </row>
    <row r="140" spans="1:6" x14ac:dyDescent="0.25">
      <c r="A140" s="57"/>
      <c r="F140" s="49"/>
    </row>
    <row r="141" spans="1:6" x14ac:dyDescent="0.25">
      <c r="A141" s="57"/>
      <c r="F141" s="49"/>
    </row>
    <row r="142" spans="1:6" x14ac:dyDescent="0.25">
      <c r="A142" s="75"/>
      <c r="B142" s="99"/>
      <c r="C142" s="98"/>
      <c r="D142" s="100"/>
      <c r="E142" s="101"/>
      <c r="F142" s="76"/>
    </row>
    <row r="143" spans="1:6" x14ac:dyDescent="0.25">
      <c r="A143" s="57"/>
      <c r="F143" s="49"/>
    </row>
    <row r="144" spans="1:6" x14ac:dyDescent="0.25">
      <c r="A144" s="57"/>
      <c r="F144" s="49"/>
    </row>
    <row r="145" spans="1:6" ht="15.75" thickBot="1" x14ac:dyDescent="0.3">
      <c r="A145" s="128"/>
      <c r="B145" s="129"/>
      <c r="C145" s="129"/>
      <c r="D145" s="129"/>
      <c r="E145" s="129"/>
      <c r="F145" s="130"/>
    </row>
    <row r="146" spans="1:6" ht="12" customHeight="1" x14ac:dyDescent="0.25">
      <c r="A146" s="131"/>
      <c r="B146" s="129"/>
      <c r="C146" s="129"/>
      <c r="D146" s="129"/>
      <c r="E146" s="129"/>
      <c r="F146" s="130"/>
    </row>
    <row r="147" spans="1:6" ht="13.5" customHeight="1" thickBot="1" x14ac:dyDescent="0.3">
      <c r="A147" s="132"/>
      <c r="B147" s="133"/>
      <c r="C147" s="133"/>
      <c r="D147" s="133"/>
      <c r="E147" s="133"/>
      <c r="F147" s="134"/>
    </row>
    <row r="148" spans="1:6" x14ac:dyDescent="0.25">
      <c r="A148" s="45"/>
      <c r="B148" s="46"/>
      <c r="C148" s="46"/>
      <c r="D148" s="46"/>
      <c r="E148" s="46"/>
      <c r="F148" s="47"/>
    </row>
    <row r="149" spans="1:6" ht="18" customHeight="1" x14ac:dyDescent="0.25">
      <c r="A149" s="43"/>
      <c r="B149" s="88"/>
      <c r="C149" s="89"/>
      <c r="D149" s="89"/>
      <c r="E149" s="89"/>
      <c r="F149" s="49"/>
    </row>
    <row r="150" spans="1:6" ht="15.75" customHeight="1" x14ac:dyDescent="0.25">
      <c r="A150" s="43"/>
      <c r="B150" s="88"/>
      <c r="C150" s="89"/>
      <c r="D150" s="89"/>
      <c r="E150" s="89"/>
      <c r="F150" s="52"/>
    </row>
    <row r="151" spans="1:6" x14ac:dyDescent="0.25">
      <c r="A151" s="54" t="str">
        <f>A102</f>
        <v>PERÍODO DE APURAÇÃO: 2026</v>
      </c>
      <c r="B151" s="90"/>
      <c r="C151" s="89"/>
      <c r="F151" s="52"/>
    </row>
    <row r="152" spans="1:6" x14ac:dyDescent="0.25">
      <c r="A152" s="54" t="str">
        <f>A103</f>
        <v xml:space="preserve">INVESTIDOR: </v>
      </c>
      <c r="B152" s="90"/>
      <c r="C152" s="89"/>
      <c r="F152" s="49"/>
    </row>
    <row r="153" spans="1:6" x14ac:dyDescent="0.25">
      <c r="A153" s="54" t="str">
        <f>A104</f>
        <v xml:space="preserve">CPF: </v>
      </c>
      <c r="B153" s="90"/>
      <c r="C153" s="89"/>
      <c r="D153" s="89"/>
      <c r="E153" s="89"/>
      <c r="F153" s="51"/>
    </row>
    <row r="154" spans="1:6" ht="15" customHeight="1" thickBot="1" x14ac:dyDescent="0.3">
      <c r="A154" s="57"/>
      <c r="F154" s="49"/>
    </row>
    <row r="155" spans="1:6" ht="15.75" customHeight="1" thickBot="1" x14ac:dyDescent="0.3">
      <c r="A155" s="155" t="s">
        <v>106</v>
      </c>
      <c r="B155" s="149"/>
      <c r="C155" s="149"/>
      <c r="D155" s="149"/>
      <c r="E155" s="149"/>
      <c r="F155" s="150"/>
    </row>
    <row r="156" spans="1:6" x14ac:dyDescent="0.25">
      <c r="A156" s="57"/>
      <c r="F156" s="49"/>
    </row>
    <row r="157" spans="1:6" ht="15" customHeight="1" x14ac:dyDescent="0.25">
      <c r="A157" s="75"/>
      <c r="B157" s="139" t="s">
        <v>72</v>
      </c>
      <c r="C157" s="140"/>
      <c r="D157" s="140"/>
      <c r="E157" s="141"/>
      <c r="F157" s="76"/>
    </row>
    <row r="158" spans="1:6" ht="15" customHeight="1" x14ac:dyDescent="0.25">
      <c r="A158" s="77"/>
      <c r="B158" s="60" t="s">
        <v>71</v>
      </c>
      <c r="C158" s="60" t="s">
        <v>70</v>
      </c>
      <c r="D158" s="84" t="s">
        <v>69</v>
      </c>
      <c r="E158" s="60" t="s">
        <v>68</v>
      </c>
      <c r="F158" s="81"/>
    </row>
    <row r="159" spans="1:6" ht="15" customHeight="1" x14ac:dyDescent="0.25">
      <c r="A159" s="77"/>
      <c r="B159" s="68">
        <v>46023</v>
      </c>
      <c r="C159" s="85">
        <v>0</v>
      </c>
      <c r="D159" s="86">
        <v>0</v>
      </c>
      <c r="E159" s="87">
        <f t="shared" ref="E159:E170" si="5">C159-D159</f>
        <v>0</v>
      </c>
      <c r="F159" s="81"/>
    </row>
    <row r="160" spans="1:6" ht="15" customHeight="1" x14ac:dyDescent="0.25">
      <c r="A160" s="77"/>
      <c r="B160" s="68">
        <v>46054</v>
      </c>
      <c r="C160" s="85">
        <v>0</v>
      </c>
      <c r="D160" s="86">
        <v>0</v>
      </c>
      <c r="E160" s="87">
        <f t="shared" si="5"/>
        <v>0</v>
      </c>
      <c r="F160" s="81"/>
    </row>
    <row r="161" spans="1:6" ht="15" customHeight="1" x14ac:dyDescent="0.25">
      <c r="A161" s="75"/>
      <c r="B161" s="68">
        <v>46082</v>
      </c>
      <c r="C161" s="85">
        <v>0</v>
      </c>
      <c r="D161" s="86">
        <v>0</v>
      </c>
      <c r="E161" s="87">
        <f t="shared" si="5"/>
        <v>0</v>
      </c>
      <c r="F161" s="76"/>
    </row>
    <row r="162" spans="1:6" ht="15" customHeight="1" x14ac:dyDescent="0.25">
      <c r="A162" s="77"/>
      <c r="B162" s="68">
        <v>46113</v>
      </c>
      <c r="C162" s="85">
        <v>0</v>
      </c>
      <c r="D162" s="86">
        <v>0</v>
      </c>
      <c r="E162" s="87">
        <f t="shared" si="5"/>
        <v>0</v>
      </c>
      <c r="F162" s="81"/>
    </row>
    <row r="163" spans="1:6" ht="15" customHeight="1" x14ac:dyDescent="0.25">
      <c r="A163" s="77"/>
      <c r="B163" s="68">
        <v>46143</v>
      </c>
      <c r="C163" s="85">
        <v>0</v>
      </c>
      <c r="D163" s="86">
        <v>0</v>
      </c>
      <c r="E163" s="87">
        <f t="shared" si="5"/>
        <v>0</v>
      </c>
      <c r="F163" s="81"/>
    </row>
    <row r="164" spans="1:6" ht="15" customHeight="1" x14ac:dyDescent="0.25">
      <c r="A164" s="77"/>
      <c r="B164" s="68">
        <v>46174</v>
      </c>
      <c r="C164" s="85">
        <v>0</v>
      </c>
      <c r="D164" s="86">
        <v>0</v>
      </c>
      <c r="E164" s="87">
        <f t="shared" si="5"/>
        <v>0</v>
      </c>
      <c r="F164" s="81"/>
    </row>
    <row r="165" spans="1:6" ht="15" customHeight="1" x14ac:dyDescent="0.25">
      <c r="A165" s="77"/>
      <c r="B165" s="68">
        <v>46204</v>
      </c>
      <c r="C165" s="85">
        <v>0</v>
      </c>
      <c r="D165" s="86">
        <v>0</v>
      </c>
      <c r="E165" s="87">
        <f t="shared" si="5"/>
        <v>0</v>
      </c>
      <c r="F165" s="81"/>
    </row>
    <row r="166" spans="1:6" ht="15" customHeight="1" x14ac:dyDescent="0.25">
      <c r="A166" s="77"/>
      <c r="B166" s="68">
        <v>46235</v>
      </c>
      <c r="C166" s="85">
        <v>0</v>
      </c>
      <c r="D166" s="86">
        <v>0</v>
      </c>
      <c r="E166" s="87">
        <f t="shared" si="5"/>
        <v>0</v>
      </c>
      <c r="F166" s="81"/>
    </row>
    <row r="167" spans="1:6" ht="15" customHeight="1" x14ac:dyDescent="0.25">
      <c r="A167" s="77"/>
      <c r="B167" s="68">
        <v>46266</v>
      </c>
      <c r="C167" s="85">
        <v>0</v>
      </c>
      <c r="D167" s="86">
        <v>0</v>
      </c>
      <c r="E167" s="87">
        <f t="shared" si="5"/>
        <v>0</v>
      </c>
      <c r="F167" s="81"/>
    </row>
    <row r="168" spans="1:6" ht="15" customHeight="1" x14ac:dyDescent="0.25">
      <c r="A168" s="77"/>
      <c r="B168" s="68">
        <v>46296</v>
      </c>
      <c r="C168" s="85">
        <v>0</v>
      </c>
      <c r="D168" s="86">
        <v>0</v>
      </c>
      <c r="E168" s="87">
        <f t="shared" si="5"/>
        <v>0</v>
      </c>
      <c r="F168" s="81"/>
    </row>
    <row r="169" spans="1:6" ht="15" customHeight="1" x14ac:dyDescent="0.25">
      <c r="A169" s="75"/>
      <c r="B169" s="68">
        <v>46327</v>
      </c>
      <c r="C169" s="85">
        <v>0</v>
      </c>
      <c r="D169" s="86">
        <v>0</v>
      </c>
      <c r="E169" s="87">
        <f t="shared" si="5"/>
        <v>0</v>
      </c>
      <c r="F169" s="76"/>
    </row>
    <row r="170" spans="1:6" ht="15" customHeight="1" x14ac:dyDescent="0.25">
      <c r="A170" s="75"/>
      <c r="B170" s="68">
        <v>46357</v>
      </c>
      <c r="C170" s="85">
        <v>0</v>
      </c>
      <c r="D170" s="86">
        <v>0</v>
      </c>
      <c r="E170" s="87">
        <f t="shared" si="5"/>
        <v>0</v>
      </c>
      <c r="F170" s="76"/>
    </row>
    <row r="171" spans="1:6" x14ac:dyDescent="0.25">
      <c r="A171" s="75"/>
      <c r="B171" s="99"/>
      <c r="C171" s="98"/>
      <c r="D171" s="100"/>
      <c r="E171" s="101"/>
      <c r="F171" s="76"/>
    </row>
    <row r="172" spans="1:6" x14ac:dyDescent="0.25">
      <c r="A172" s="57"/>
      <c r="F172" s="49"/>
    </row>
    <row r="173" spans="1:6" x14ac:dyDescent="0.25">
      <c r="A173" s="57"/>
      <c r="F173" s="49"/>
    </row>
    <row r="174" spans="1:6" x14ac:dyDescent="0.25">
      <c r="A174" s="57"/>
      <c r="F174" s="49"/>
    </row>
    <row r="175" spans="1:6" x14ac:dyDescent="0.25">
      <c r="A175" s="57"/>
      <c r="F175" s="49"/>
    </row>
    <row r="176" spans="1:6" x14ac:dyDescent="0.25">
      <c r="A176" s="57"/>
      <c r="F176" s="49"/>
    </row>
    <row r="177" spans="1:6" x14ac:dyDescent="0.25">
      <c r="A177" s="57"/>
      <c r="F177" s="49"/>
    </row>
    <row r="178" spans="1:6" x14ac:dyDescent="0.25">
      <c r="A178" s="57"/>
      <c r="F178" s="49"/>
    </row>
    <row r="179" spans="1:6" x14ac:dyDescent="0.25">
      <c r="A179" s="75"/>
      <c r="B179" s="99"/>
      <c r="C179" s="98"/>
      <c r="D179" s="100"/>
      <c r="E179" s="101"/>
      <c r="F179" s="76"/>
    </row>
    <row r="180" spans="1:6" x14ac:dyDescent="0.25">
      <c r="A180" s="75"/>
      <c r="B180" s="99"/>
      <c r="C180" s="98"/>
      <c r="D180" s="100"/>
      <c r="E180" s="101"/>
      <c r="F180" s="76"/>
    </row>
    <row r="181" spans="1:6" x14ac:dyDescent="0.25">
      <c r="A181" s="75"/>
      <c r="B181" s="99"/>
      <c r="C181" s="98"/>
      <c r="D181" s="100"/>
      <c r="E181" s="101"/>
      <c r="F181" s="76"/>
    </row>
    <row r="182" spans="1:6" x14ac:dyDescent="0.25">
      <c r="A182" s="57"/>
      <c r="F182" s="49"/>
    </row>
    <row r="183" spans="1:6" x14ac:dyDescent="0.25">
      <c r="A183" s="57"/>
      <c r="F183" s="49"/>
    </row>
    <row r="184" spans="1:6" ht="15.75" customHeight="1" x14ac:dyDescent="0.25">
      <c r="A184" s="57"/>
      <c r="F184" s="49"/>
    </row>
    <row r="185" spans="1:6" x14ac:dyDescent="0.25">
      <c r="A185" s="57"/>
      <c r="F185" s="49"/>
    </row>
    <row r="186" spans="1:6" x14ac:dyDescent="0.25">
      <c r="A186" s="57"/>
      <c r="F186" s="49"/>
    </row>
    <row r="187" spans="1:6" x14ac:dyDescent="0.25">
      <c r="A187" s="57"/>
      <c r="F187" s="49"/>
    </row>
    <row r="188" spans="1:6" x14ac:dyDescent="0.25">
      <c r="A188" s="57"/>
      <c r="F188" s="49"/>
    </row>
    <row r="189" spans="1:6" x14ac:dyDescent="0.25">
      <c r="A189" s="57"/>
      <c r="F189" s="49"/>
    </row>
    <row r="190" spans="1:6" x14ac:dyDescent="0.25">
      <c r="A190" s="57"/>
      <c r="F190" s="49"/>
    </row>
    <row r="191" spans="1:6" x14ac:dyDescent="0.25">
      <c r="A191" s="57"/>
      <c r="F191" s="49"/>
    </row>
    <row r="192" spans="1:6" x14ac:dyDescent="0.25">
      <c r="A192" s="57"/>
      <c r="F192" s="49"/>
    </row>
    <row r="193" spans="1:6" x14ac:dyDescent="0.25">
      <c r="A193" s="57"/>
      <c r="F193" s="49"/>
    </row>
    <row r="194" spans="1:6" x14ac:dyDescent="0.25">
      <c r="A194" s="57"/>
      <c r="F194" s="49"/>
    </row>
    <row r="195" spans="1:6" ht="15.75" thickBot="1" x14ac:dyDescent="0.3">
      <c r="A195" s="128"/>
      <c r="B195" s="129"/>
      <c r="C195" s="129"/>
      <c r="D195" s="129"/>
      <c r="E195" s="129"/>
      <c r="F195" s="130"/>
    </row>
    <row r="196" spans="1:6" ht="14.25" customHeight="1" x14ac:dyDescent="0.25">
      <c r="A196" s="131"/>
      <c r="B196" s="129"/>
      <c r="C196" s="129"/>
      <c r="D196" s="129"/>
      <c r="E196" s="129"/>
      <c r="F196" s="130"/>
    </row>
    <row r="197" spans="1:6" ht="15" customHeight="1" thickBot="1" x14ac:dyDescent="0.3">
      <c r="A197" s="132"/>
      <c r="B197" s="133"/>
      <c r="C197" s="133"/>
      <c r="D197" s="133"/>
      <c r="E197" s="133"/>
      <c r="F197" s="134"/>
    </row>
  </sheetData>
  <protectedRanges>
    <protectedRange sqref="E66" name="Intervalo1"/>
  </protectedRanges>
  <mergeCells count="39">
    <mergeCell ref="K3:L3"/>
    <mergeCell ref="B157:E157"/>
    <mergeCell ref="O35:P35"/>
    <mergeCell ref="P10:S10"/>
    <mergeCell ref="K52:L52"/>
    <mergeCell ref="A47:F49"/>
    <mergeCell ref="B32:D32"/>
    <mergeCell ref="N57:U57"/>
    <mergeCell ref="O37:P37"/>
    <mergeCell ref="B10:E10"/>
    <mergeCell ref="H10:L10"/>
    <mergeCell ref="B124:E124"/>
    <mergeCell ref="K4:L4"/>
    <mergeCell ref="A155:F155"/>
    <mergeCell ref="G57:M57"/>
    <mergeCell ref="A106:F106"/>
    <mergeCell ref="G47:M49"/>
    <mergeCell ref="A8:F8"/>
    <mergeCell ref="N8:U8"/>
    <mergeCell ref="G8:M8"/>
    <mergeCell ref="H44:J44"/>
    <mergeCell ref="O34:P34"/>
    <mergeCell ref="B30:E30"/>
    <mergeCell ref="B12:D12"/>
    <mergeCell ref="O33:T33"/>
    <mergeCell ref="N30:U30"/>
    <mergeCell ref="O38:P38"/>
    <mergeCell ref="O36:P36"/>
    <mergeCell ref="N47:U49"/>
    <mergeCell ref="A145:F147"/>
    <mergeCell ref="A195:F197"/>
    <mergeCell ref="G96:M98"/>
    <mergeCell ref="N96:U98"/>
    <mergeCell ref="K53:L53"/>
    <mergeCell ref="B59:E59"/>
    <mergeCell ref="B108:E108"/>
    <mergeCell ref="B61:D61"/>
    <mergeCell ref="A57:F57"/>
    <mergeCell ref="A96:F98"/>
  </mergeCells>
  <conditionalFormatting sqref="L12:L43">
    <cfRule type="cellIs" dxfId="2" priority="3" operator="greaterThan">
      <formula>0</formula>
    </cfRule>
  </conditionalFormatting>
  <conditionalFormatting sqref="L12:L43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 verticalCentered="1"/>
  <pageMargins left="0.39370078740157483" right="0.19685039370078741" top="0.74803149606299213" bottom="0.74803149606299213" header="0.31496062992125984" footer="0.82677165354330717"/>
  <pageSetup paperSize="9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B8D9-7CEF-415F-8647-7C3C38479924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57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'2026'!E32</f>
        <v>0</v>
      </c>
      <c r="C28" s="24">
        <f>'2026'!E12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31"/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31"/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31">
        <f>'2026'!E61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31"/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88A5-C2B3-4D52-8388-E0F12C613548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58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'01.26'!B30</f>
        <v>0</v>
      </c>
      <c r="C28" s="24">
        <f>'01.26'!C30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'01.26'!C38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'01.26'!C41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'01.26'!B52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'01.26'!B58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B160-F7D3-4C0E-83DC-42D3AA5DCC05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59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'02.26'!B30</f>
        <v>0</v>
      </c>
      <c r="C28" s="24">
        <f>'02.26'!C30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'02.26'!C38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'02.26'!C41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'02.26'!B52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'02.26'!B58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B7BF-04BE-4BD2-A19B-BF001E70BD82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60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'03.26'!B30</f>
        <v>0</v>
      </c>
      <c r="C28" s="24">
        <f>'03.26'!C30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'03.26'!C38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'03.26'!C41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'03.26'!B52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'03.26'!B58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B961-9F2D-4871-8A08-4AAF78B62131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0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'04.26'!B30</f>
        <v>0</v>
      </c>
      <c r="C28" s="24">
        <f>'04.26'!C30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'04.26'!C38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'04.26'!C41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'04.26'!B52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'04.26'!B58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0C8C-2D3A-42EB-85C0-B50222B95E76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61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'05.26'!B30</f>
        <v>0</v>
      </c>
      <c r="C28" s="24">
        <f>'05.26'!C30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'05.26'!C38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'05.26'!C41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'05.26'!B52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'05.26'!B58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6C0F-BCE9-405C-9162-8E661E06EF33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62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'06.26'!B30</f>
        <v>0</v>
      </c>
      <c r="C28" s="24">
        <f>'06.26'!C30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'06.26'!C38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'06.26'!C41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'06.26'!B52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'06.26'!B58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EF34-5DFD-4CE0-B2BB-B75017CA7005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63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'07.26'!B30</f>
        <v>0</v>
      </c>
      <c r="C28" s="24">
        <f>'07.26'!C30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'07.26'!C38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'07.26'!C41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'07.26'!B52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'07.26'!B58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28D0-C525-4B0C-A620-7FC678CE3FF9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64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'08.26'!B30</f>
        <v>0</v>
      </c>
      <c r="C28" s="24">
        <f>'08.26'!C30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'08.26'!C38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'08.26'!C41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'08.26'!B52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'08.26'!B58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03F6-41EF-4FAC-BADB-057B0C4A3B72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65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'09.26'!B30</f>
        <v>0</v>
      </c>
      <c r="C28" s="24">
        <f>'09.26'!C30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'09.26'!C38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'09.26'!C41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'09.26'!B52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'09.26'!B58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101E-AC21-4279-80C4-DB9AD98D0ACF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66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'10.26'!B30</f>
        <v>0</v>
      </c>
      <c r="C28" s="24">
        <f>'10.26'!C30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'10.26'!C38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'10.26'!C41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'10.26'!B52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'10.26'!B58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81CA-C6D8-492E-B64C-12C2E6A23CD9}">
  <sheetPr>
    <pageSetUpPr fitToPage="1"/>
  </sheetPr>
  <dimension ref="A1:K182"/>
  <sheetViews>
    <sheetView showGridLines="0" zoomScale="85" zoomScaleNormal="85" workbookViewId="0">
      <selection activeCell="A10" sqref="A10:K10"/>
    </sheetView>
  </sheetViews>
  <sheetFormatPr defaultColWidth="5.7109375" defaultRowHeight="15" x14ac:dyDescent="0.25"/>
  <cols>
    <col min="1" max="1" width="38.7109375" customWidth="1"/>
    <col min="2" max="3" width="19.7109375" customWidth="1"/>
    <col min="4" max="5" width="1.7109375" customWidth="1"/>
    <col min="6" max="6" width="6" customWidth="1"/>
    <col min="7" max="7" width="20.7109375" customWidth="1"/>
    <col min="8" max="9" width="1.7109375" customWidth="1"/>
    <col min="10" max="10" width="20.7109375" customWidth="1"/>
    <col min="11" max="11" width="6" customWidth="1"/>
  </cols>
  <sheetData>
    <row r="1" spans="1:11" ht="15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6"/>
    </row>
    <row r="3" spans="1:11" ht="15.75" customHeight="1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6"/>
    </row>
    <row r="4" spans="1:11" ht="15.75" customHeight="1" x14ac:dyDescent="0.25">
      <c r="A4" s="5"/>
      <c r="B4" s="4"/>
      <c r="C4" s="4"/>
      <c r="D4" s="4"/>
      <c r="E4" s="4"/>
      <c r="F4" s="4"/>
      <c r="G4" s="4"/>
      <c r="H4" s="4"/>
      <c r="I4" s="4"/>
      <c r="J4" s="7"/>
      <c r="K4" s="8"/>
    </row>
    <row r="5" spans="1:11" ht="15.75" customHeight="1" x14ac:dyDescent="0.25">
      <c r="A5" s="5"/>
      <c r="B5" s="118"/>
      <c r="C5" s="104"/>
      <c r="D5" s="104"/>
      <c r="E5" s="104"/>
      <c r="F5" s="104"/>
      <c r="G5" s="9"/>
      <c r="H5" s="9"/>
      <c r="I5" s="9"/>
      <c r="J5" s="41"/>
      <c r="K5" s="42"/>
    </row>
    <row r="6" spans="1:11" ht="15.75" customHeight="1" x14ac:dyDescent="0.3">
      <c r="A6" s="10" t="s">
        <v>67</v>
      </c>
      <c r="B6" s="4"/>
      <c r="C6" s="119"/>
      <c r="D6" s="104"/>
      <c r="E6" s="104"/>
      <c r="F6" s="4"/>
      <c r="G6" s="4"/>
      <c r="H6" s="4"/>
      <c r="I6" s="4"/>
      <c r="J6" s="4"/>
      <c r="K6" s="6"/>
    </row>
    <row r="7" spans="1:11" ht="15.75" customHeight="1" x14ac:dyDescent="0.3">
      <c r="A7" s="10" t="s">
        <v>53</v>
      </c>
      <c r="B7" s="4"/>
      <c r="C7" s="119"/>
      <c r="D7" s="104"/>
      <c r="E7" s="104"/>
      <c r="F7" s="4"/>
      <c r="G7" s="4"/>
      <c r="H7" s="4"/>
      <c r="I7" s="4"/>
      <c r="J7" s="4"/>
      <c r="K7" s="6"/>
    </row>
    <row r="8" spans="1:11" ht="15.75" customHeight="1" x14ac:dyDescent="0.3">
      <c r="A8" s="10" t="s">
        <v>54</v>
      </c>
      <c r="B8" s="4"/>
      <c r="C8" s="4"/>
      <c r="D8" s="4"/>
      <c r="E8" s="4"/>
      <c r="F8" s="4"/>
      <c r="G8" s="4"/>
      <c r="H8" s="4"/>
      <c r="I8" s="4"/>
      <c r="J8" s="4"/>
      <c r="K8" s="6"/>
    </row>
    <row r="9" spans="1:11" ht="15.75" customHeigh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6"/>
    </row>
    <row r="10" spans="1:11" ht="15.75" customHeight="1" x14ac:dyDescent="0.25">
      <c r="A10" s="120" t="s">
        <v>1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spans="1:11" x14ac:dyDescent="0.25">
      <c r="A11" s="5"/>
      <c r="B11" s="4"/>
      <c r="C11" s="4"/>
      <c r="D11" s="4"/>
      <c r="E11" s="4"/>
      <c r="F11" s="4"/>
      <c r="G11" s="4"/>
      <c r="H11" s="4"/>
      <c r="I11" s="4"/>
      <c r="J11" s="4"/>
      <c r="K11" s="6"/>
    </row>
    <row r="12" spans="1:11" x14ac:dyDescent="0.25">
      <c r="A12" s="123"/>
      <c r="B12" s="104"/>
      <c r="C12" s="104"/>
      <c r="D12" s="104"/>
      <c r="E12" s="104"/>
      <c r="F12" s="104"/>
      <c r="G12" s="104"/>
      <c r="H12" s="104"/>
      <c r="I12" s="104"/>
      <c r="J12" s="104"/>
      <c r="K12" s="117"/>
    </row>
    <row r="13" spans="1:11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6"/>
    </row>
    <row r="14" spans="1:11" ht="15" customHeight="1" x14ac:dyDescent="0.25">
      <c r="A14" s="11"/>
      <c r="B14" s="12" t="s">
        <v>2</v>
      </c>
      <c r="C14" s="12" t="s">
        <v>3</v>
      </c>
      <c r="D14" s="13"/>
      <c r="E14" s="14"/>
      <c r="F14" s="7" t="s">
        <v>105</v>
      </c>
      <c r="G14" s="14"/>
      <c r="H14" s="14"/>
      <c r="I14" s="14"/>
      <c r="J14" s="14"/>
      <c r="K14" s="15"/>
    </row>
    <row r="15" spans="1:11" ht="15.75" customHeight="1" x14ac:dyDescent="0.25">
      <c r="A15" s="16" t="s">
        <v>4</v>
      </c>
      <c r="B15" s="17"/>
      <c r="C15" s="17"/>
      <c r="D15" s="13"/>
      <c r="E15" s="14"/>
      <c r="G15" s="14"/>
      <c r="H15" s="14"/>
      <c r="I15" s="14"/>
      <c r="J15" s="14"/>
      <c r="K15" s="15"/>
    </row>
    <row r="16" spans="1:11" ht="15" customHeight="1" x14ac:dyDescent="0.25">
      <c r="A16" s="16" t="s">
        <v>6</v>
      </c>
      <c r="B16" s="17"/>
      <c r="C16" s="17"/>
      <c r="D16" s="13"/>
      <c r="E16" s="14"/>
      <c r="F16" s="102" t="s">
        <v>5</v>
      </c>
      <c r="G16" s="14"/>
      <c r="H16" s="14"/>
      <c r="I16" s="14"/>
      <c r="J16" s="14"/>
      <c r="K16" s="15"/>
    </row>
    <row r="17" spans="1:11" ht="15.75" customHeight="1" x14ac:dyDescent="0.25">
      <c r="A17" s="124"/>
      <c r="B17" s="125"/>
      <c r="C17" s="114"/>
      <c r="D17" s="13"/>
      <c r="E17" s="14"/>
      <c r="G17" s="14"/>
      <c r="H17" s="14"/>
      <c r="I17" s="14"/>
      <c r="J17" s="14"/>
      <c r="K17" s="15"/>
    </row>
    <row r="18" spans="1:11" ht="15.75" customHeight="1" x14ac:dyDescent="0.25">
      <c r="A18" s="16" t="s">
        <v>8</v>
      </c>
      <c r="B18" s="17"/>
      <c r="C18" s="17"/>
      <c r="D18" s="13"/>
      <c r="E18" s="14"/>
      <c r="F18" s="7" t="s">
        <v>7</v>
      </c>
      <c r="G18" s="14"/>
      <c r="H18" s="14"/>
      <c r="I18" s="14"/>
      <c r="J18" s="14"/>
      <c r="K18" s="15"/>
    </row>
    <row r="19" spans="1:11" ht="15.75" customHeight="1" x14ac:dyDescent="0.25">
      <c r="A19" s="16" t="s">
        <v>9</v>
      </c>
      <c r="B19" s="17"/>
      <c r="C19" s="17"/>
      <c r="D19" s="13"/>
      <c r="E19" s="14"/>
      <c r="F19" s="14"/>
      <c r="G19" s="14"/>
      <c r="H19" s="14"/>
      <c r="I19" s="14"/>
      <c r="J19" s="14"/>
      <c r="K19" s="15"/>
    </row>
    <row r="20" spans="1:11" ht="15" customHeight="1" x14ac:dyDescent="0.25">
      <c r="A20" s="16" t="s">
        <v>12</v>
      </c>
      <c r="B20" s="17"/>
      <c r="C20" s="17"/>
      <c r="D20" s="13"/>
      <c r="E20" s="14"/>
      <c r="F20" s="14"/>
      <c r="G20" s="7" t="s">
        <v>10</v>
      </c>
      <c r="H20" s="7"/>
      <c r="I20" s="7"/>
      <c r="J20" s="7" t="s">
        <v>11</v>
      </c>
      <c r="K20" s="15"/>
    </row>
    <row r="21" spans="1:11" ht="15.75" customHeight="1" x14ac:dyDescent="0.25">
      <c r="A21" s="124"/>
      <c r="B21" s="125"/>
      <c r="C21" s="114"/>
      <c r="D21" s="13"/>
      <c r="E21" s="14"/>
      <c r="F21" s="14" t="s">
        <v>13</v>
      </c>
      <c r="G21" s="18">
        <v>0</v>
      </c>
      <c r="H21" s="14"/>
      <c r="I21" s="14"/>
      <c r="J21" s="19">
        <v>0</v>
      </c>
      <c r="K21" s="15"/>
    </row>
    <row r="22" spans="1:11" ht="15" customHeight="1" x14ac:dyDescent="0.25">
      <c r="A22" s="16" t="s">
        <v>14</v>
      </c>
      <c r="B22" s="17"/>
      <c r="C22" s="17"/>
      <c r="D22" s="13"/>
      <c r="E22" s="14"/>
      <c r="F22" s="14"/>
      <c r="G22" s="14"/>
      <c r="H22" s="14"/>
      <c r="I22" s="14"/>
      <c r="J22" s="14"/>
      <c r="K22" s="15"/>
    </row>
    <row r="23" spans="1:11" ht="15" customHeight="1" x14ac:dyDescent="0.25">
      <c r="A23" s="16" t="s">
        <v>16</v>
      </c>
      <c r="B23" s="17"/>
      <c r="C23" s="17"/>
      <c r="D23" s="13"/>
      <c r="E23" s="14"/>
      <c r="F23" s="14" t="s">
        <v>15</v>
      </c>
      <c r="G23" s="20">
        <v>0</v>
      </c>
      <c r="H23" s="14"/>
      <c r="I23" s="14"/>
      <c r="J23" s="20">
        <v>0</v>
      </c>
      <c r="K23" s="15"/>
    </row>
    <row r="24" spans="1:11" ht="15" customHeight="1" x14ac:dyDescent="0.25">
      <c r="A24" s="16" t="s">
        <v>17</v>
      </c>
      <c r="B24" s="17"/>
      <c r="C24" s="17"/>
      <c r="D24" s="13"/>
      <c r="E24" s="14"/>
      <c r="F24" s="4"/>
      <c r="G24" s="14"/>
      <c r="H24" s="14"/>
      <c r="I24" s="14"/>
      <c r="J24" s="14"/>
      <c r="K24" s="15"/>
    </row>
    <row r="25" spans="1:11" ht="15" customHeight="1" x14ac:dyDescent="0.25">
      <c r="A25" s="16" t="s">
        <v>18</v>
      </c>
      <c r="B25" s="17"/>
      <c r="C25" s="17"/>
      <c r="D25" s="13"/>
      <c r="E25" s="14"/>
      <c r="F25" s="4"/>
      <c r="G25" s="14"/>
      <c r="H25" s="14"/>
      <c r="I25" s="14"/>
      <c r="J25" s="14"/>
      <c r="K25" s="15"/>
    </row>
    <row r="26" spans="1:11" ht="15" customHeight="1" x14ac:dyDescent="0.25">
      <c r="A26" s="126"/>
      <c r="B26" s="125"/>
      <c r="C26" s="114"/>
      <c r="D26" s="13"/>
      <c r="E26" s="14"/>
      <c r="F26" s="7" t="s">
        <v>56</v>
      </c>
      <c r="G26" s="7"/>
      <c r="H26" s="7"/>
      <c r="I26" s="7"/>
      <c r="J26" s="7"/>
      <c r="K26" s="15"/>
    </row>
    <row r="27" spans="1:11" ht="15" customHeight="1" x14ac:dyDescent="0.25">
      <c r="A27" s="21" t="s">
        <v>20</v>
      </c>
      <c r="B27" s="22">
        <f>SUM(B15:B25)</f>
        <v>0</v>
      </c>
      <c r="C27" s="22">
        <f>SUM(C15:C25)</f>
        <v>0</v>
      </c>
      <c r="D27" s="13"/>
      <c r="E27" s="14"/>
      <c r="F27" s="39"/>
      <c r="G27" s="39"/>
      <c r="H27" s="39"/>
      <c r="I27" s="39"/>
      <c r="J27" s="39"/>
      <c r="K27" s="15"/>
    </row>
    <row r="28" spans="1:11" ht="15.75" customHeight="1" x14ac:dyDescent="0.25">
      <c r="A28" s="23" t="s">
        <v>21</v>
      </c>
      <c r="B28" s="24">
        <f>'11.26'!B30</f>
        <v>0</v>
      </c>
      <c r="C28" s="24">
        <f>'11.26'!C30</f>
        <v>0</v>
      </c>
      <c r="D28" s="13"/>
      <c r="E28" s="14"/>
      <c r="G28" s="7" t="s">
        <v>55</v>
      </c>
      <c r="I28" s="7"/>
      <c r="J28" s="7" t="s">
        <v>19</v>
      </c>
      <c r="K28" s="15"/>
    </row>
    <row r="29" spans="1:11" ht="15.75" customHeight="1" x14ac:dyDescent="0.25">
      <c r="A29" s="25" t="s">
        <v>22</v>
      </c>
      <c r="B29" s="26">
        <f>MAX(0,B27+B28)</f>
        <v>0</v>
      </c>
      <c r="C29" s="26">
        <f>MAX(0,C27+C28)</f>
        <v>0</v>
      </c>
      <c r="D29" s="13"/>
      <c r="E29" s="14"/>
      <c r="F29" s="14" t="s">
        <v>13</v>
      </c>
      <c r="G29" s="18">
        <v>0</v>
      </c>
      <c r="H29" s="39"/>
      <c r="I29" s="19"/>
      <c r="J29" s="19">
        <v>0</v>
      </c>
      <c r="K29" s="15"/>
    </row>
    <row r="30" spans="1:11" ht="15.75" customHeight="1" x14ac:dyDescent="0.25">
      <c r="A30" s="23" t="s">
        <v>23</v>
      </c>
      <c r="B30" s="24">
        <f>MIN(0,B27+B28)</f>
        <v>0</v>
      </c>
      <c r="C30" s="24">
        <f>MIN(0,C27+C28)</f>
        <v>0</v>
      </c>
      <c r="D30" s="13"/>
      <c r="E30" s="14"/>
      <c r="F30" s="39"/>
      <c r="G30" s="39"/>
      <c r="H30" s="39"/>
      <c r="I30" s="14"/>
      <c r="J30" s="14"/>
      <c r="K30" s="15"/>
    </row>
    <row r="31" spans="1:11" ht="15.75" customHeight="1" x14ac:dyDescent="0.25">
      <c r="A31" s="27" t="s">
        <v>24</v>
      </c>
      <c r="B31" s="28">
        <v>0.15</v>
      </c>
      <c r="C31" s="28">
        <v>0.2</v>
      </c>
      <c r="D31" s="13"/>
      <c r="E31" s="14"/>
      <c r="F31" s="14" t="s">
        <v>15</v>
      </c>
      <c r="G31" s="20">
        <v>0</v>
      </c>
      <c r="H31" s="39"/>
      <c r="I31" s="20"/>
      <c r="J31" s="20">
        <v>0</v>
      </c>
      <c r="K31" s="15"/>
    </row>
    <row r="32" spans="1:11" ht="15.75" customHeight="1" x14ac:dyDescent="0.25">
      <c r="A32" s="29" t="s">
        <v>25</v>
      </c>
      <c r="B32" s="24">
        <f>B29*B31</f>
        <v>0</v>
      </c>
      <c r="C32" s="24">
        <f>C29*C31</f>
        <v>0</v>
      </c>
      <c r="D32" s="13"/>
      <c r="E32" s="14"/>
      <c r="F32" s="39"/>
      <c r="G32" s="39"/>
      <c r="H32" s="39"/>
      <c r="I32" s="39"/>
      <c r="J32" s="39"/>
      <c r="K32" s="15"/>
    </row>
    <row r="33" spans="1:11" ht="15.75" customHeight="1" x14ac:dyDescent="0.25">
      <c r="A33" s="30"/>
      <c r="B33" s="14"/>
      <c r="C33" s="14"/>
      <c r="D33" s="13"/>
      <c r="E33" s="14"/>
      <c r="F33" s="39"/>
      <c r="G33" s="39"/>
      <c r="H33" s="39"/>
      <c r="I33" s="39"/>
      <c r="J33" s="39"/>
      <c r="K33" s="15"/>
    </row>
    <row r="34" spans="1:11" ht="15.75" customHeight="1" x14ac:dyDescent="0.25">
      <c r="A34" s="127" t="s">
        <v>26</v>
      </c>
      <c r="B34" s="125"/>
      <c r="C34" s="114"/>
      <c r="D34" s="13"/>
      <c r="E34" s="14"/>
      <c r="G34" s="14"/>
      <c r="H34" s="14"/>
      <c r="I34" s="14"/>
      <c r="J34" s="14"/>
      <c r="K34" s="15"/>
    </row>
    <row r="35" spans="1:11" ht="15.75" customHeight="1" x14ac:dyDescent="0.25">
      <c r="A35" s="113" t="s">
        <v>28</v>
      </c>
      <c r="B35" s="114"/>
      <c r="C35" s="31">
        <f>B32+C32</f>
        <v>0</v>
      </c>
      <c r="D35" s="13"/>
      <c r="E35" s="14"/>
      <c r="F35" s="102" t="s">
        <v>27</v>
      </c>
      <c r="G35" s="14"/>
      <c r="H35" s="14"/>
      <c r="I35" s="14"/>
      <c r="J35" s="14"/>
      <c r="K35" s="15"/>
    </row>
    <row r="36" spans="1:11" ht="15.75" customHeight="1" x14ac:dyDescent="0.25">
      <c r="A36" s="113" t="s">
        <v>29</v>
      </c>
      <c r="B36" s="114"/>
      <c r="C36" s="31"/>
      <c r="D36" s="13"/>
      <c r="E36" s="14"/>
      <c r="G36" s="14"/>
      <c r="H36" s="14"/>
      <c r="I36" s="14"/>
      <c r="J36" s="14"/>
      <c r="K36" s="15"/>
    </row>
    <row r="37" spans="1:11" ht="15.75" customHeight="1" x14ac:dyDescent="0.25">
      <c r="A37" s="113" t="s">
        <v>31</v>
      </c>
      <c r="B37" s="114"/>
      <c r="C37" s="24">
        <f>'11.26'!C38</f>
        <v>0</v>
      </c>
      <c r="D37" s="13"/>
      <c r="E37" s="14"/>
      <c r="F37" s="32" t="s">
        <v>30</v>
      </c>
      <c r="G37" s="14"/>
      <c r="H37" s="14"/>
      <c r="I37" s="14"/>
      <c r="J37" s="14"/>
      <c r="K37" s="15"/>
    </row>
    <row r="38" spans="1:11" ht="15.75" customHeight="1" x14ac:dyDescent="0.25">
      <c r="A38" s="113" t="s">
        <v>32</v>
      </c>
      <c r="B38" s="114"/>
      <c r="C38" s="31">
        <f>MAX(0,C36+C37-C32)</f>
        <v>0</v>
      </c>
      <c r="D38" s="13"/>
      <c r="E38" s="14"/>
      <c r="G38" s="14"/>
      <c r="H38" s="14"/>
      <c r="I38" s="14"/>
      <c r="J38" s="14"/>
      <c r="K38" s="15"/>
    </row>
    <row r="39" spans="1:11" ht="15.75" customHeight="1" x14ac:dyDescent="0.25">
      <c r="A39" s="113" t="s">
        <v>34</v>
      </c>
      <c r="B39" s="114"/>
      <c r="C39" s="31"/>
      <c r="D39" s="13"/>
      <c r="E39" s="14"/>
      <c r="F39" s="103" t="s">
        <v>33</v>
      </c>
      <c r="G39" s="103"/>
      <c r="H39" s="103"/>
      <c r="I39" s="105">
        <v>0</v>
      </c>
      <c r="J39" s="105"/>
      <c r="K39" s="15"/>
    </row>
    <row r="40" spans="1:11" ht="15.75" customHeight="1" x14ac:dyDescent="0.25">
      <c r="A40" s="113" t="s">
        <v>36</v>
      </c>
      <c r="B40" s="114"/>
      <c r="C40" s="24">
        <f>'11.26'!C41</f>
        <v>0</v>
      </c>
      <c r="D40" s="13"/>
      <c r="E40" s="14"/>
      <c r="F40" s="40" t="s">
        <v>35</v>
      </c>
      <c r="G40" s="40"/>
      <c r="H40" s="40"/>
      <c r="I40" s="105">
        <v>0</v>
      </c>
      <c r="J40" s="105"/>
      <c r="K40" s="15"/>
    </row>
    <row r="41" spans="1:11" ht="15.75" customHeight="1" x14ac:dyDescent="0.25">
      <c r="A41" s="113" t="s">
        <v>38</v>
      </c>
      <c r="B41" s="114"/>
      <c r="C41" s="31">
        <f>MAX(0,C39+C40-B32)</f>
        <v>0</v>
      </c>
      <c r="D41" s="13"/>
      <c r="E41" s="14"/>
      <c r="F41" s="40" t="s">
        <v>37</v>
      </c>
      <c r="G41" s="40"/>
      <c r="H41" s="40"/>
      <c r="I41" s="105">
        <v>0</v>
      </c>
      <c r="J41" s="105"/>
      <c r="K41" s="15"/>
    </row>
    <row r="42" spans="1:11" ht="15.75" customHeight="1" x14ac:dyDescent="0.25">
      <c r="A42" s="115" t="s">
        <v>40</v>
      </c>
      <c r="B42" s="114"/>
      <c r="C42" s="33">
        <f>MAX(0,C32-(C36+C37))+MAX(0,B32-(C39+C40))</f>
        <v>0</v>
      </c>
      <c r="D42" s="13"/>
      <c r="E42" s="14"/>
      <c r="F42" s="40" t="s">
        <v>39</v>
      </c>
      <c r="G42" s="40"/>
      <c r="H42" s="40"/>
      <c r="I42" s="105">
        <v>0</v>
      </c>
      <c r="J42" s="105"/>
      <c r="K42" s="15"/>
    </row>
    <row r="43" spans="1:11" ht="15.75" customHeight="1" x14ac:dyDescent="0.25">
      <c r="A43" s="113" t="s">
        <v>42</v>
      </c>
      <c r="B43" s="114"/>
      <c r="C43" s="156" t="str">
        <f>IF($C$42&gt;=10,WORKDAY(EOMONTH(DATE(2000+VALUE(RIGHT($A$6,2)),VALUE(MID($A$6,FIND(": ",$A$6)+2,2)),1),1)+1,-1),"")</f>
        <v/>
      </c>
      <c r="D43" s="13"/>
      <c r="E43" s="14"/>
      <c r="F43" s="40" t="s">
        <v>41</v>
      </c>
      <c r="G43" s="40"/>
      <c r="H43" s="40"/>
      <c r="I43" s="105">
        <v>0</v>
      </c>
      <c r="J43" s="105"/>
      <c r="K43" s="15"/>
    </row>
    <row r="44" spans="1:11" ht="15.75" customHeight="1" x14ac:dyDescent="0.25">
      <c r="A44" s="30"/>
      <c r="B44" s="14"/>
      <c r="C44" s="14"/>
      <c r="D44" s="14"/>
      <c r="E44" s="14"/>
      <c r="F44" s="14"/>
      <c r="G44" s="14"/>
      <c r="H44" s="14"/>
      <c r="I44" s="14"/>
      <c r="J44" s="14"/>
      <c r="K44" s="15"/>
    </row>
    <row r="45" spans="1:11" ht="21" customHeight="1" x14ac:dyDescent="0.25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6"/>
    </row>
    <row r="46" spans="1:11" ht="15.75" customHeight="1" x14ac:dyDescent="0.25">
      <c r="A46" s="30"/>
      <c r="B46" s="14"/>
      <c r="C46" s="14"/>
      <c r="D46" s="14"/>
      <c r="E46" s="14"/>
      <c r="F46" s="14"/>
      <c r="G46" s="14"/>
      <c r="H46" s="14"/>
      <c r="I46" s="14"/>
      <c r="J46" s="14"/>
      <c r="K46" s="15"/>
    </row>
    <row r="47" spans="1:11" ht="17.25" customHeight="1" x14ac:dyDescent="0.25">
      <c r="A47" s="116" t="s">
        <v>43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17"/>
    </row>
    <row r="48" spans="1:11" ht="21" customHeight="1" x14ac:dyDescent="0.25">
      <c r="A48" s="30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ht="15.75" customHeight="1" x14ac:dyDescent="0.25">
      <c r="A49" s="37" t="s">
        <v>44</v>
      </c>
      <c r="B49" s="31"/>
      <c r="C49" s="14"/>
      <c r="D49" s="13"/>
      <c r="E49" s="14"/>
      <c r="F49" s="7" t="s">
        <v>45</v>
      </c>
      <c r="G49" s="14"/>
      <c r="H49" s="14"/>
      <c r="I49" s="14"/>
      <c r="J49" s="14"/>
      <c r="K49" s="15"/>
    </row>
    <row r="50" spans="1:11" ht="15.75" customHeight="1" x14ac:dyDescent="0.25">
      <c r="A50" s="37" t="s">
        <v>46</v>
      </c>
      <c r="B50" s="24">
        <f>'11.26'!B52</f>
        <v>0</v>
      </c>
      <c r="C50" s="14"/>
      <c r="D50" s="13"/>
      <c r="E50" s="14"/>
      <c r="F50" s="14"/>
      <c r="G50" s="14"/>
      <c r="H50" s="14"/>
      <c r="I50" s="14"/>
      <c r="J50" s="14"/>
      <c r="K50" s="15"/>
    </row>
    <row r="51" spans="1:11" ht="15.75" customHeight="1" x14ac:dyDescent="0.25">
      <c r="A51" s="37" t="s">
        <v>47</v>
      </c>
      <c r="B51" s="31">
        <f>MAX(0,B49+B50)</f>
        <v>0</v>
      </c>
      <c r="C51" s="14"/>
      <c r="D51" s="13"/>
      <c r="E51" s="14"/>
      <c r="F51" s="32" t="s">
        <v>30</v>
      </c>
      <c r="G51" s="14"/>
      <c r="H51" s="14"/>
      <c r="I51" s="14"/>
      <c r="J51" s="14"/>
      <c r="K51" s="15"/>
    </row>
    <row r="52" spans="1:11" ht="15.75" customHeight="1" x14ac:dyDescent="0.25">
      <c r="A52" s="37" t="s">
        <v>48</v>
      </c>
      <c r="B52" s="31">
        <f>MIN(0,B49+B50)</f>
        <v>0</v>
      </c>
      <c r="C52" s="14"/>
      <c r="D52" s="13"/>
      <c r="E52" s="14"/>
      <c r="F52" s="14"/>
      <c r="G52" s="14"/>
      <c r="H52" s="14"/>
      <c r="I52" s="14"/>
      <c r="J52" s="14"/>
      <c r="K52" s="15"/>
    </row>
    <row r="53" spans="1:11" ht="15.75" customHeight="1" x14ac:dyDescent="0.25">
      <c r="A53" s="27" t="s">
        <v>24</v>
      </c>
      <c r="B53" s="28">
        <v>0.2</v>
      </c>
      <c r="C53" s="14"/>
      <c r="D53" s="13"/>
      <c r="E53" s="14"/>
      <c r="F53" s="103" t="s">
        <v>33</v>
      </c>
      <c r="G53" s="104"/>
      <c r="H53" s="104"/>
      <c r="I53" s="105">
        <v>0</v>
      </c>
      <c r="J53" s="104"/>
      <c r="K53" s="15"/>
    </row>
    <row r="54" spans="1:11" ht="15.75" customHeight="1" x14ac:dyDescent="0.25">
      <c r="A54" s="38" t="s">
        <v>49</v>
      </c>
      <c r="B54" s="33">
        <f>B51*B53</f>
        <v>0</v>
      </c>
      <c r="C54" s="14"/>
      <c r="D54" s="13"/>
      <c r="E54" s="14"/>
      <c r="F54" s="103" t="s">
        <v>35</v>
      </c>
      <c r="G54" s="104"/>
      <c r="H54" s="104"/>
      <c r="I54" s="105">
        <v>0</v>
      </c>
      <c r="J54" s="104"/>
      <c r="K54" s="15"/>
    </row>
    <row r="55" spans="1:11" ht="15.75" customHeight="1" x14ac:dyDescent="0.25">
      <c r="A55" s="30"/>
      <c r="B55" s="19"/>
      <c r="C55" s="14"/>
      <c r="D55" s="13"/>
      <c r="E55" s="14"/>
      <c r="F55" s="103" t="s">
        <v>37</v>
      </c>
      <c r="G55" s="104"/>
      <c r="H55" s="104"/>
      <c r="I55" s="105">
        <v>0</v>
      </c>
      <c r="J55" s="104"/>
      <c r="K55" s="15"/>
    </row>
    <row r="56" spans="1:11" ht="15.75" customHeight="1" x14ac:dyDescent="0.25">
      <c r="A56" s="37" t="s">
        <v>50</v>
      </c>
      <c r="B56" s="31"/>
      <c r="C56" s="14"/>
      <c r="D56" s="13"/>
      <c r="E56" s="14"/>
      <c r="F56" s="103" t="s">
        <v>39</v>
      </c>
      <c r="G56" s="104"/>
      <c r="H56" s="104"/>
      <c r="I56" s="105">
        <v>0</v>
      </c>
      <c r="J56" s="104"/>
      <c r="K56" s="15"/>
    </row>
    <row r="57" spans="1:11" ht="15.75" customHeight="1" x14ac:dyDescent="0.25">
      <c r="A57" s="37" t="s">
        <v>51</v>
      </c>
      <c r="B57" s="24">
        <f>'11.26'!B58</f>
        <v>0</v>
      </c>
      <c r="C57" s="14"/>
      <c r="D57" s="13"/>
      <c r="E57" s="14"/>
      <c r="F57" s="103" t="s">
        <v>41</v>
      </c>
      <c r="G57" s="104"/>
      <c r="H57" s="104"/>
      <c r="I57" s="105">
        <v>0</v>
      </c>
      <c r="J57" s="104"/>
      <c r="K57" s="15"/>
    </row>
    <row r="58" spans="1:11" ht="15.75" customHeight="1" x14ac:dyDescent="0.25">
      <c r="A58" s="37" t="s">
        <v>52</v>
      </c>
      <c r="B58" s="31">
        <f>MAX(0,B56+B57-B54)</f>
        <v>0</v>
      </c>
      <c r="C58" s="14"/>
      <c r="D58" s="13"/>
      <c r="E58" s="14"/>
      <c r="F58" s="14"/>
      <c r="G58" s="14"/>
      <c r="H58" s="14"/>
      <c r="I58" s="14"/>
      <c r="J58" s="14"/>
      <c r="K58" s="15"/>
    </row>
    <row r="59" spans="1:11" ht="15.75" customHeight="1" x14ac:dyDescent="0.25">
      <c r="A59" s="38" t="s">
        <v>40</v>
      </c>
      <c r="B59" s="31">
        <f>MAX(0,B54-(B56+B57))</f>
        <v>0</v>
      </c>
      <c r="C59" s="14"/>
      <c r="D59" s="13"/>
      <c r="E59" s="14"/>
      <c r="F59" s="14"/>
      <c r="G59" s="14"/>
      <c r="H59" s="14"/>
      <c r="I59" s="14"/>
      <c r="J59" s="14"/>
      <c r="K59" s="15"/>
    </row>
    <row r="60" spans="1:11" ht="15.75" x14ac:dyDescent="0.25">
      <c r="A60" s="157" t="s">
        <v>42</v>
      </c>
      <c r="B60" s="156" t="str">
        <f>IF($B$59&gt;=10,WORKDAY(EOMONTH(DATE(2000+VALUE(RIGHT($A$6,2)),VALUE(MID($A$6,FIND(": ",$A$6)+2,2)),1),1)+1,-1),"")</f>
        <v/>
      </c>
      <c r="C60" s="4"/>
      <c r="D60" s="13"/>
      <c r="E60" s="4"/>
      <c r="F60" s="4"/>
      <c r="G60" s="4"/>
      <c r="H60" s="4"/>
      <c r="I60" s="4"/>
      <c r="J60" s="4"/>
      <c r="K60" s="6"/>
    </row>
    <row r="61" spans="1:11" x14ac:dyDescent="0.25">
      <c r="A61" s="5"/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5" customHeight="1" x14ac:dyDescent="0.25">
      <c r="A62" s="5"/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5.75" thickBot="1" x14ac:dyDescent="0.3">
      <c r="A63" s="106"/>
      <c r="B63" s="107"/>
      <c r="C63" s="107"/>
      <c r="D63" s="107"/>
      <c r="E63" s="107"/>
      <c r="F63" s="107"/>
      <c r="G63" s="107"/>
      <c r="H63" s="107"/>
      <c r="I63" s="107"/>
      <c r="J63" s="107"/>
      <c r="K63" s="108"/>
    </row>
    <row r="64" spans="1:11" x14ac:dyDescent="0.25">
      <c r="A64" s="109"/>
      <c r="B64" s="107"/>
      <c r="C64" s="107"/>
      <c r="D64" s="107"/>
      <c r="E64" s="107"/>
      <c r="F64" s="107"/>
      <c r="G64" s="107"/>
      <c r="H64" s="107"/>
      <c r="I64" s="107"/>
      <c r="J64" s="107"/>
      <c r="K64" s="108"/>
    </row>
    <row r="65" spans="1:11" ht="17.25" customHeight="1" thickBo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2"/>
    </row>
    <row r="68" spans="1:11" ht="15" customHeight="1" x14ac:dyDescent="0.25"/>
    <row r="72" spans="1:11" ht="15.75" customHeight="1" x14ac:dyDescent="0.25"/>
    <row r="84" ht="15.75" customHeight="1" x14ac:dyDescent="0.25"/>
    <row r="85" ht="15.75" customHeight="1" x14ac:dyDescent="0.25"/>
    <row r="88" ht="15.75" customHeight="1" x14ac:dyDescent="0.25"/>
    <row r="89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6" ht="15.75" customHeight="1" x14ac:dyDescent="0.25"/>
    <row r="121" ht="15.75" customHeight="1" x14ac:dyDescent="0.25"/>
    <row r="133" ht="15.75" customHeight="1" x14ac:dyDescent="0.25"/>
    <row r="134" ht="15.75" customHeight="1" x14ac:dyDescent="0.25"/>
    <row r="135" ht="15.75" customHeight="1" x14ac:dyDescent="0.25"/>
    <row r="138" ht="15.75" customHeight="1" x14ac:dyDescent="0.25"/>
    <row r="144" ht="12" customHeight="1" x14ac:dyDescent="0.25"/>
    <row r="145" ht="13.5" customHeight="1" x14ac:dyDescent="0.25"/>
    <row r="147" ht="18" customHeight="1" x14ac:dyDescent="0.25"/>
    <row r="148" ht="15.75" customHeight="1" x14ac:dyDescent="0.25"/>
    <row r="153" ht="15.75" customHeight="1" x14ac:dyDescent="0.25"/>
    <row r="182" ht="15.75" customHeight="1" x14ac:dyDescent="0.25"/>
  </sheetData>
  <mergeCells count="36">
    <mergeCell ref="A37:B37"/>
    <mergeCell ref="B5:F5"/>
    <mergeCell ref="C6:E6"/>
    <mergeCell ref="C7:E7"/>
    <mergeCell ref="A10:K10"/>
    <mergeCell ref="A12:K12"/>
    <mergeCell ref="A17:C17"/>
    <mergeCell ref="A21:C21"/>
    <mergeCell ref="A26:C26"/>
    <mergeCell ref="A34:C34"/>
    <mergeCell ref="A35:B35"/>
    <mergeCell ref="A36:B36"/>
    <mergeCell ref="A38:B38"/>
    <mergeCell ref="A39:B39"/>
    <mergeCell ref="F39:H39"/>
    <mergeCell ref="I39:J39"/>
    <mergeCell ref="A40:B40"/>
    <mergeCell ref="I40:J40"/>
    <mergeCell ref="F55:H55"/>
    <mergeCell ref="I55:J55"/>
    <mergeCell ref="A41:B41"/>
    <mergeCell ref="I41:J41"/>
    <mergeCell ref="A42:B42"/>
    <mergeCell ref="I42:J42"/>
    <mergeCell ref="A43:B43"/>
    <mergeCell ref="I43:J43"/>
    <mergeCell ref="A47:K47"/>
    <mergeCell ref="F53:H53"/>
    <mergeCell ref="I53:J53"/>
    <mergeCell ref="F54:H54"/>
    <mergeCell ref="I54:J54"/>
    <mergeCell ref="F56:H56"/>
    <mergeCell ref="I56:J56"/>
    <mergeCell ref="F57:H57"/>
    <mergeCell ref="I57:J57"/>
    <mergeCell ref="A63:K65"/>
  </mergeCells>
  <printOptions horizontalCentered="1"/>
  <pageMargins left="0" right="0" top="0.19685039370078741" bottom="0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12</vt:i4>
      </vt:variant>
    </vt:vector>
  </HeadingPairs>
  <TitlesOfParts>
    <vt:vector size="25" baseType="lpstr">
      <vt:lpstr>2026</vt:lpstr>
      <vt:lpstr>01.26</vt:lpstr>
      <vt:lpstr>02.26</vt:lpstr>
      <vt:lpstr>03.26</vt:lpstr>
      <vt:lpstr>04.26</vt:lpstr>
      <vt:lpstr>05.26</vt:lpstr>
      <vt:lpstr>06.26</vt:lpstr>
      <vt:lpstr>07.26</vt:lpstr>
      <vt:lpstr>08.26</vt:lpstr>
      <vt:lpstr>09.26</vt:lpstr>
      <vt:lpstr>10.26</vt:lpstr>
      <vt:lpstr>11.26</vt:lpstr>
      <vt:lpstr>12.26</vt:lpstr>
      <vt:lpstr>'01.26'!Area_de_impressao</vt:lpstr>
      <vt:lpstr>'02.26'!Area_de_impressao</vt:lpstr>
      <vt:lpstr>'03.26'!Area_de_impressao</vt:lpstr>
      <vt:lpstr>'04.26'!Area_de_impressao</vt:lpstr>
      <vt:lpstr>'05.26'!Area_de_impressao</vt:lpstr>
      <vt:lpstr>'06.26'!Area_de_impressao</vt:lpstr>
      <vt:lpstr>'07.26'!Area_de_impressao</vt:lpstr>
      <vt:lpstr>'08.26'!Area_de_impressao</vt:lpstr>
      <vt:lpstr>'09.26'!Area_de_impressao</vt:lpstr>
      <vt:lpstr>'10.26'!Area_de_impressao</vt:lpstr>
      <vt:lpstr>'11.26'!Area_de_impressao</vt:lpstr>
      <vt:lpstr>'12.26'!Area_de_impressao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Monteiro da Silva</dc:creator>
  <cp:lastModifiedBy>Tainá Costa</cp:lastModifiedBy>
  <cp:lastPrinted>2026-08-26T01:26:09Z</cp:lastPrinted>
  <dcterms:created xsi:type="dcterms:W3CDTF">2026-06-23T14:30:37Z</dcterms:created>
  <dcterms:modified xsi:type="dcterms:W3CDTF">2026-08-26T01:58:04Z</dcterms:modified>
</cp:coreProperties>
</file>